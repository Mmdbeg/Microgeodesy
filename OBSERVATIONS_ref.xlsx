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beglari\atmospheric_cor\"/>
    </mc:Choice>
  </mc:AlternateContent>
  <bookViews>
    <workbookView xWindow="0" yWindow="0" windowWidth="20490" windowHeight="7755" tabRatio="367"/>
  </bookViews>
  <sheets>
    <sheet name="BC3_1" sheetId="1" r:id="rId1"/>
  </sheets>
  <definedNames>
    <definedName name="sort">BC3_1!$A$2:$E$21</definedName>
  </definedNames>
  <calcPr calcId="152511"/>
</workbook>
</file>

<file path=xl/calcChain.xml><?xml version="1.0" encoding="utf-8"?>
<calcChain xmlns="http://schemas.openxmlformats.org/spreadsheetml/2006/main">
  <c r="I35" i="1" l="1"/>
  <c r="I34" i="1"/>
  <c r="I33" i="1"/>
  <c r="I32" i="1"/>
  <c r="I31" i="1"/>
  <c r="I30" i="1"/>
  <c r="I29" i="1"/>
  <c r="I28" i="1"/>
  <c r="I27" i="1"/>
  <c r="I26" i="1"/>
  <c r="I25" i="1"/>
  <c r="I24" i="1"/>
  <c r="I83" i="1"/>
  <c r="I37" i="1"/>
  <c r="I43" i="1"/>
  <c r="I68" i="1"/>
  <c r="I123" i="1"/>
  <c r="I163" i="1"/>
  <c r="I153" i="1"/>
  <c r="I127" i="1"/>
  <c r="I47" i="1"/>
  <c r="I18" i="1"/>
  <c r="I122" i="1"/>
  <c r="I156" i="1"/>
  <c r="I7" i="1"/>
  <c r="I44" i="1"/>
  <c r="I73" i="1"/>
  <c r="I53" i="1"/>
  <c r="I104" i="1"/>
  <c r="I46" i="1"/>
  <c r="I140" i="1"/>
  <c r="I103" i="1"/>
  <c r="I4" i="1"/>
  <c r="I15" i="1"/>
  <c r="I11" i="1"/>
  <c r="I113" i="1"/>
  <c r="I67" i="1"/>
  <c r="I63" i="1"/>
  <c r="I82" i="1"/>
  <c r="I61" i="1"/>
  <c r="I152" i="1"/>
  <c r="I128" i="1"/>
  <c r="I49" i="1"/>
  <c r="I112" i="1"/>
  <c r="I147" i="1"/>
  <c r="I129" i="1"/>
  <c r="I16" i="1"/>
  <c r="I70" i="1"/>
  <c r="I111" i="1"/>
  <c r="I19" i="1"/>
  <c r="I106" i="1"/>
  <c r="I89" i="1"/>
  <c r="I48" i="1"/>
  <c r="I74" i="1"/>
  <c r="I108" i="1"/>
  <c r="I118" i="1"/>
  <c r="I50" i="1"/>
  <c r="I131" i="1"/>
  <c r="I161" i="1"/>
  <c r="I8" i="1"/>
  <c r="I40" i="1"/>
  <c r="I78" i="1"/>
  <c r="I157" i="1"/>
  <c r="I79" i="1"/>
  <c r="I66" i="1"/>
  <c r="I87" i="1"/>
  <c r="I138" i="1"/>
  <c r="I158" i="1"/>
  <c r="I52" i="1"/>
  <c r="I139" i="1"/>
  <c r="I17" i="1"/>
  <c r="I14" i="1"/>
  <c r="I143" i="1"/>
  <c r="I154" i="1"/>
  <c r="I162" i="1"/>
  <c r="I166" i="1"/>
  <c r="I151" i="1"/>
  <c r="I10" i="1"/>
  <c r="I60" i="1"/>
  <c r="I76" i="1"/>
  <c r="I21" i="1"/>
  <c r="I12" i="1"/>
  <c r="I148" i="1"/>
  <c r="I65" i="1"/>
  <c r="I117" i="1"/>
  <c r="I38" i="1"/>
  <c r="I62" i="1"/>
  <c r="I75" i="1"/>
  <c r="I124" i="1"/>
  <c r="I155" i="1"/>
  <c r="I109" i="1"/>
  <c r="I41" i="1"/>
  <c r="I39" i="1"/>
  <c r="I91" i="1"/>
  <c r="I42" i="1"/>
  <c r="I80" i="1"/>
  <c r="I59" i="1"/>
  <c r="I145" i="1"/>
  <c r="I137" i="1"/>
  <c r="I114" i="1"/>
  <c r="I167" i="1"/>
  <c r="I170" i="1"/>
  <c r="I45" i="1"/>
  <c r="I169" i="1"/>
  <c r="I165" i="1"/>
  <c r="I119" i="1"/>
  <c r="I149" i="1"/>
  <c r="I69" i="1"/>
  <c r="I120" i="1"/>
  <c r="I146" i="1"/>
  <c r="I107" i="1"/>
  <c r="I136" i="1"/>
  <c r="I71" i="1"/>
  <c r="I6" i="1"/>
  <c r="I164" i="1"/>
  <c r="I77" i="1"/>
  <c r="I88" i="1"/>
  <c r="I121" i="1"/>
  <c r="I5" i="1"/>
  <c r="I160" i="1"/>
  <c r="I116" i="1"/>
  <c r="I159" i="1"/>
  <c r="I20" i="1"/>
  <c r="I90" i="1"/>
  <c r="I144" i="1"/>
  <c r="I51" i="1"/>
  <c r="I130" i="1"/>
  <c r="I115" i="1"/>
  <c r="I81" i="1"/>
  <c r="I13" i="1"/>
  <c r="I58" i="1"/>
  <c r="I150" i="1"/>
  <c r="I126" i="1"/>
  <c r="I3" i="1"/>
  <c r="I9" i="1"/>
  <c r="I125" i="1"/>
  <c r="I110" i="1"/>
  <c r="I72" i="1"/>
  <c r="I64" i="1"/>
  <c r="I2" i="1"/>
  <c r="I168" i="1"/>
  <c r="I105" i="1"/>
</calcChain>
</file>

<file path=xl/sharedStrings.xml><?xml version="1.0" encoding="utf-8"?>
<sst xmlns="http://schemas.openxmlformats.org/spreadsheetml/2006/main" count="698" uniqueCount="378">
  <si>
    <t>BL1</t>
  </si>
  <si>
    <t>103° 08' 51.0"</t>
  </si>
  <si>
    <t>89° 57' 52.4"</t>
  </si>
  <si>
    <t>BL2</t>
  </si>
  <si>
    <t>151° 21' 25.9"</t>
  </si>
  <si>
    <t>88° 44' 16.1"</t>
  </si>
  <si>
    <t>BL3</t>
  </si>
  <si>
    <t>165° 11' 56.5"</t>
  </si>
  <si>
    <t>90° 09' 27.9"</t>
  </si>
  <si>
    <t>BL4</t>
  </si>
  <si>
    <t>203° 02' 39.0"</t>
  </si>
  <si>
    <t>95° 11' 49.7"</t>
  </si>
  <si>
    <t>BL5</t>
  </si>
  <si>
    <t>226° 49' 23.2"</t>
  </si>
  <si>
    <t>92° 17' 12.1"</t>
  </si>
  <si>
    <t>BR1</t>
  </si>
  <si>
    <t>BR4</t>
  </si>
  <si>
    <t>292° 24' 59.0"</t>
  </si>
  <si>
    <t>92° 32' 20.6"</t>
  </si>
  <si>
    <t>BR5</t>
  </si>
  <si>
    <t>FROM</t>
  </si>
  <si>
    <t>TO</t>
  </si>
  <si>
    <t>BC3</t>
  </si>
  <si>
    <t>BR2</t>
  </si>
  <si>
    <t>348° 06' 59.8"</t>
  </si>
  <si>
    <t>89° 03' 53.7"</t>
  </si>
  <si>
    <t>BR3</t>
  </si>
  <si>
    <t>321° 46' 28.4"</t>
  </si>
  <si>
    <t>89° 06' 34.1"</t>
  </si>
  <si>
    <t>BR6</t>
  </si>
  <si>
    <t>294° 01' 52.4"</t>
  </si>
  <si>
    <t>94° 53' 22.3"</t>
  </si>
  <si>
    <t>92° 49' 44.75"</t>
  </si>
  <si>
    <t>312° 14' 26.45"</t>
  </si>
  <si>
    <t>P2</t>
  </si>
  <si>
    <t>92° 52' 42.2"</t>
  </si>
  <si>
    <t>93° 20' 04.5"</t>
  </si>
  <si>
    <t>P3</t>
  </si>
  <si>
    <t>159° 53' 47.7"</t>
  </si>
  <si>
    <t>88° 53' 49.8"</t>
  </si>
  <si>
    <t>CU2</t>
  </si>
  <si>
    <t>150° 13' 50.2"</t>
  </si>
  <si>
    <t>90° 19' 04.6"</t>
  </si>
  <si>
    <t>CU3</t>
  </si>
  <si>
    <t>93° 39' 22.5"</t>
  </si>
  <si>
    <t>92° 31' 55.7"</t>
  </si>
  <si>
    <t>CU4</t>
  </si>
  <si>
    <t>343° 54' 29.8"</t>
  </si>
  <si>
    <t>90° 21' 10.6"</t>
  </si>
  <si>
    <t>CU6</t>
  </si>
  <si>
    <t>338° 48' 54.8"</t>
  </si>
  <si>
    <t>90° 05' 59.7"</t>
  </si>
  <si>
    <t>CU1</t>
  </si>
  <si>
    <t>151° 59' 05.7"</t>
  </si>
  <si>
    <t>90° 21' 21.7"</t>
  </si>
  <si>
    <t>CU5</t>
  </si>
  <si>
    <t>340° 14' 22.8"</t>
  </si>
  <si>
    <t>90° 10' 18.7"</t>
  </si>
  <si>
    <t>D1</t>
  </si>
  <si>
    <t>188° 00' 19.5"</t>
  </si>
  <si>
    <t>106° 44' 03.6"</t>
  </si>
  <si>
    <t>D3</t>
  </si>
  <si>
    <t>316° 07' 44.7"</t>
  </si>
  <si>
    <t>101° 53' 04.3"</t>
  </si>
  <si>
    <t>D4</t>
  </si>
  <si>
    <t>242° 59' 42.8"</t>
  </si>
  <si>
    <t>117° 49' 34.5"</t>
  </si>
  <si>
    <t>88° 32' 24.08"</t>
  </si>
  <si>
    <t>39° 26' 10.1"</t>
  </si>
  <si>
    <t>90° 02' 18.4"</t>
  </si>
  <si>
    <t>4° 21' 26.1"</t>
  </si>
  <si>
    <t>90° 08' 43.8"</t>
  </si>
  <si>
    <t>83° 30' 39.6"</t>
  </si>
  <si>
    <t>88° 58' 41.8"</t>
  </si>
  <si>
    <t>58° 33' 24.6"</t>
  </si>
  <si>
    <t>89° 33' 13.7"</t>
  </si>
  <si>
    <t>59° 53' 08.3"</t>
  </si>
  <si>
    <t>90° 05' 53.8"</t>
  </si>
  <si>
    <t>67° 13' 20.0"</t>
  </si>
  <si>
    <t>90° 04' 38.4"</t>
  </si>
  <si>
    <t>74° 22' 54.4"</t>
  </si>
  <si>
    <t>89° 25' 48.5"</t>
  </si>
  <si>
    <t>14° 25' 07.5"</t>
  </si>
  <si>
    <t>90° 14' 49.7"</t>
  </si>
  <si>
    <t>22° 43' 27.7"</t>
  </si>
  <si>
    <t>90° 10' 15.7"</t>
  </si>
  <si>
    <t>39° 50' 08.3"</t>
  </si>
  <si>
    <t>90° 08' 48.7"</t>
  </si>
  <si>
    <t>51° 46' 33.6"</t>
  </si>
  <si>
    <t>90° 07' 08.5"</t>
  </si>
  <si>
    <t>88° 58' 23.95"</t>
  </si>
  <si>
    <t>CD6</t>
  </si>
  <si>
    <t>65° 22' 26.6"</t>
  </si>
  <si>
    <t>90° 33' 13.9"</t>
  </si>
  <si>
    <t>60° 40' 54.3"</t>
  </si>
  <si>
    <t>94° 53' 50.7"</t>
  </si>
  <si>
    <t>63° 14' 18.0"</t>
  </si>
  <si>
    <t>92° 52' 15.9"</t>
  </si>
  <si>
    <t>65° 17' 15.9"</t>
  </si>
  <si>
    <t>91° 28' 31.5"</t>
  </si>
  <si>
    <t>65° 58' 30.1"</t>
  </si>
  <si>
    <t>90° 59' 15.3"</t>
  </si>
  <si>
    <t>66° 20' 58.5"</t>
  </si>
  <si>
    <t>90° 44' 33.3"</t>
  </si>
  <si>
    <t>66° 38' 47.5"</t>
  </si>
  <si>
    <t>90° 33' 12.8"</t>
  </si>
  <si>
    <t>62° 05' 31.3"</t>
  </si>
  <si>
    <t>91° 15' 59.5"</t>
  </si>
  <si>
    <t>81° 20' 38.6"</t>
  </si>
  <si>
    <t>89° 25' 37.5"</t>
  </si>
  <si>
    <t>72° 52' 56.5"</t>
  </si>
  <si>
    <t>89° 50' 58.6"</t>
  </si>
  <si>
    <t>CD1</t>
  </si>
  <si>
    <t>50° 26' 14.0"</t>
  </si>
  <si>
    <t>94° 47' 34.3"</t>
  </si>
  <si>
    <t>CD2</t>
  </si>
  <si>
    <t>57° 00' 27.4"</t>
  </si>
  <si>
    <t>92° 47' 27.0"</t>
  </si>
  <si>
    <t>CD4</t>
  </si>
  <si>
    <t>63° 43' 00.2"</t>
  </si>
  <si>
    <t>90° 59' 38.2"</t>
  </si>
  <si>
    <t>CD5</t>
  </si>
  <si>
    <t>64° 38' 56.1"</t>
  </si>
  <si>
    <t>90° 44' 31.5"</t>
  </si>
  <si>
    <t>95° 41' 30.3"</t>
  </si>
  <si>
    <t>154° 26' 41.8"</t>
  </si>
  <si>
    <t>91° 01' 46.2"</t>
  </si>
  <si>
    <t>36° 13' 51.2"</t>
  </si>
  <si>
    <t>92° 13' 08.0"</t>
  </si>
  <si>
    <t>40° 36' 21.5"</t>
  </si>
  <si>
    <t>93° 31' 37.5"</t>
  </si>
  <si>
    <t>255° 56' 01.9"</t>
  </si>
  <si>
    <t>89° 50' 38.8"</t>
  </si>
  <si>
    <t>338° 48' 08.8"</t>
  </si>
  <si>
    <t>89° 51' 31.0"</t>
  </si>
  <si>
    <t>163° 45' 54.4"</t>
  </si>
  <si>
    <t>92° 31' 06.7"</t>
  </si>
  <si>
    <t>266° 08' 57.0"</t>
  </si>
  <si>
    <t>88° 56' 18.4"</t>
  </si>
  <si>
    <t>257° 52' 15.4"</t>
  </si>
  <si>
    <t>89° 19' 37.8"</t>
  </si>
  <si>
    <t>219° 28' 05.0"</t>
  </si>
  <si>
    <t>91° 50' 28.1"</t>
  </si>
  <si>
    <t>225° 07' 07.8"</t>
  </si>
  <si>
    <t>93° 09' 03.5"</t>
  </si>
  <si>
    <t>173° 01' 24.9"</t>
  </si>
  <si>
    <t>98° 09' 11.1"</t>
  </si>
  <si>
    <t>280° 16' 24.8"</t>
  </si>
  <si>
    <t>90° 28' 18.9"</t>
  </si>
  <si>
    <t>265° 40' 59.3"</t>
  </si>
  <si>
    <t>90° 03' 15.2"</t>
  </si>
  <si>
    <t>224° 19' 57.1"</t>
  </si>
  <si>
    <t>111° 50' 18.7"</t>
  </si>
  <si>
    <t>D2</t>
  </si>
  <si>
    <t>241° 14' 09.7"</t>
  </si>
  <si>
    <t>98° 24' 22.7"</t>
  </si>
  <si>
    <t>246° 02' 07.1"</t>
  </si>
  <si>
    <t>94° 09' 13.4"</t>
  </si>
  <si>
    <t>229° 13' 03.7"</t>
  </si>
  <si>
    <t>103° 29' 59.5"</t>
  </si>
  <si>
    <t>84° 18' 43.1"</t>
  </si>
  <si>
    <t>135° 06' 37.6"</t>
  </si>
  <si>
    <t>84° 48' 16.6"</t>
  </si>
  <si>
    <t>194° 21' 22.5"</t>
  </si>
  <si>
    <t>81° 50' 54.0"</t>
  </si>
  <si>
    <t>98° 04' 56.5"</t>
  </si>
  <si>
    <t>86° 57' 06.7"</t>
  </si>
  <si>
    <t>73° 15' 16.9"</t>
  </si>
  <si>
    <t>89° 43' 57.7"</t>
  </si>
  <si>
    <t>98° 19' 52.6"</t>
  </si>
  <si>
    <t>88° 42' 30.9"</t>
  </si>
  <si>
    <t>83° 49' 05.9"</t>
  </si>
  <si>
    <t>90° 38' 12.9"</t>
  </si>
  <si>
    <t>176° 11' 27.7"</t>
  </si>
  <si>
    <t>83° 10' 57.4"</t>
  </si>
  <si>
    <t>161° 38' 30.4"</t>
  </si>
  <si>
    <t>83° 21' 35.1"</t>
  </si>
  <si>
    <t>121° 48' 46.5"</t>
  </si>
  <si>
    <t>86° 11' 47.3"</t>
  </si>
  <si>
    <t>113° 35' 19.9"</t>
  </si>
  <si>
    <t>87° 03' 55.9"</t>
  </si>
  <si>
    <t>107° 08' 51.9"</t>
  </si>
  <si>
    <t>87° 47' 46.9"</t>
  </si>
  <si>
    <t>124° 48' 40.5"</t>
  </si>
  <si>
    <t>92° 35' 54.1"</t>
  </si>
  <si>
    <t>115° 36' 44.7"</t>
  </si>
  <si>
    <t>90° 12' 19.6"</t>
  </si>
  <si>
    <t>114° 38' 17.9"</t>
  </si>
  <si>
    <t>99° 19' 53.9"</t>
  </si>
  <si>
    <t>89° 20' 56.6"</t>
  </si>
  <si>
    <t>338° 53' 25.1"</t>
  </si>
  <si>
    <t>87° 42' 58.6"</t>
  </si>
  <si>
    <t>5° 05' 51.9"</t>
  </si>
  <si>
    <t>87° 29' 06.4"</t>
  </si>
  <si>
    <t>90° 39' 09.9"</t>
  </si>
  <si>
    <t>311° 42' 42.1"</t>
  </si>
  <si>
    <t>88° 06' 09.7"</t>
  </si>
  <si>
    <t>284° 40' 34.2"</t>
  </si>
  <si>
    <t>90° 05' 04.9"</t>
  </si>
  <si>
    <t>309° 14' 36.6"</t>
  </si>
  <si>
    <t>89° 19' 41.5"</t>
  </si>
  <si>
    <t>300° 08' 46.8"</t>
  </si>
  <si>
    <t>90° 56' 35.9"</t>
  </si>
  <si>
    <t>336° 25' 48.2"</t>
  </si>
  <si>
    <t>91° 41' 00.4"</t>
  </si>
  <si>
    <t>303° 13' 35.3"</t>
  </si>
  <si>
    <t>91° 12' 28.5"</t>
  </si>
  <si>
    <t>304° 27' 26.7"</t>
  </si>
  <si>
    <t>91° 15' 41.9"</t>
  </si>
  <si>
    <t>308° 28' 12.5"</t>
  </si>
  <si>
    <t>91° 32' 20.1"</t>
  </si>
  <si>
    <t>314° 45' 07.8"</t>
  </si>
  <si>
    <t>91° 57' 09.1"</t>
  </si>
  <si>
    <t>325° 21' 40.9"</t>
  </si>
  <si>
    <t>92° 35' 59.9"</t>
  </si>
  <si>
    <t>310° 16' 15.3"</t>
  </si>
  <si>
    <t>91° 27' 49.5"</t>
  </si>
  <si>
    <t>277° 29' 36.9"</t>
  </si>
  <si>
    <t>91° 01' 35.1"</t>
  </si>
  <si>
    <t>300° 52' 52.7"</t>
  </si>
  <si>
    <t>90° 34' 39.1"</t>
  </si>
  <si>
    <t>305° 41' 08.1"</t>
  </si>
  <si>
    <t>91° 03' 59.8"</t>
  </si>
  <si>
    <t>5° 20' 42.0"</t>
  </si>
  <si>
    <t>92° 48' 01.5"</t>
  </si>
  <si>
    <t>91° 15' 44"</t>
  </si>
  <si>
    <t>301° 23' 50.0"</t>
  </si>
  <si>
    <t>90° 56' 20.6"</t>
  </si>
  <si>
    <t>271° 22' 26.9"</t>
  </si>
  <si>
    <t>90° 34' 34.4"</t>
  </si>
  <si>
    <t>295° 25' 46.0"</t>
  </si>
  <si>
    <t>90° 09' 17.4"</t>
  </si>
  <si>
    <t>300° 25' 02.3"</t>
  </si>
  <si>
    <t>90° 40' 41.0"</t>
  </si>
  <si>
    <t>332° 55' 32.1"</t>
  </si>
  <si>
    <t>91° 54' 07.9"</t>
  </si>
  <si>
    <t>188° 21' 18.2"</t>
  </si>
  <si>
    <t>87° 12' 08.9"</t>
  </si>
  <si>
    <t>305° 05' 11.6"</t>
  </si>
  <si>
    <t>91° 21' 18.1"</t>
  </si>
  <si>
    <t>312° 50' 05.0"</t>
  </si>
  <si>
    <t>92° 00' 28.2"</t>
  </si>
  <si>
    <t>350° 52' 36.5"</t>
  </si>
  <si>
    <t>94° 30' 23.5"</t>
  </si>
  <si>
    <t>299° 27' 40.5"</t>
  </si>
  <si>
    <t>91° 01' 05.9"</t>
  </si>
  <si>
    <t>302° 47' 42.1"</t>
  </si>
  <si>
    <t>91° 21' 55.0"</t>
  </si>
  <si>
    <t>309° 28' 46.8"</t>
  </si>
  <si>
    <t>92° 03' 14.9"</t>
  </si>
  <si>
    <t>346° 24' 24.5"</t>
  </si>
  <si>
    <t>95° 06' 57.1"</t>
  </si>
  <si>
    <t>90° 23' 18.86"</t>
  </si>
  <si>
    <t>92° 02' 43.8"</t>
  </si>
  <si>
    <t>90° 53' 36.4"</t>
  </si>
  <si>
    <t>72° 32' 20.2"</t>
  </si>
  <si>
    <t>90° 27' 03.5"</t>
  </si>
  <si>
    <t>116° 17' 13.5"</t>
  </si>
  <si>
    <t>93° 03' 04.5"</t>
  </si>
  <si>
    <t>356° 59' 22.0"</t>
  </si>
  <si>
    <t>89° 36' 46.5"</t>
  </si>
  <si>
    <t>190° 16' 46.1"</t>
  </si>
  <si>
    <t>96° 32' 27.3"</t>
  </si>
  <si>
    <t>115° 20' 59.2"</t>
  </si>
  <si>
    <t>99° 35' 31.2"</t>
  </si>
  <si>
    <t>95° 12' 14.2"</t>
  </si>
  <si>
    <t>90° 43' 47.4"</t>
  </si>
  <si>
    <t>94° 07' 30.9"</t>
  </si>
  <si>
    <t>90° 45' 14.0"</t>
  </si>
  <si>
    <t>90° 19' 47.7"</t>
  </si>
  <si>
    <t>90° 58' 16.9"</t>
  </si>
  <si>
    <t>83° 29' 59.0"</t>
  </si>
  <si>
    <t>91° 20' 44.9"</t>
  </si>
  <si>
    <t>68° 30' 38.0"</t>
  </si>
  <si>
    <t>92° 05' 52.1"</t>
  </si>
  <si>
    <t>7° 30' 08.8"</t>
  </si>
  <si>
    <t>93° 18' 16.6"</t>
  </si>
  <si>
    <t>72° 10' 09.6"</t>
  </si>
  <si>
    <t>92° 11' 58.6"</t>
  </si>
  <si>
    <t>6° 08' 35.0"</t>
  </si>
  <si>
    <t>93° 45' 30.8"</t>
  </si>
  <si>
    <t>67° 09' 15.8"</t>
  </si>
  <si>
    <t>92° 20' 49.3"</t>
  </si>
  <si>
    <t>99° 05' 50.7"</t>
  </si>
  <si>
    <t>90° 07' 01.3"</t>
  </si>
  <si>
    <t>88° 44' 24.56"</t>
  </si>
  <si>
    <t>23° 44' 06.0"</t>
  </si>
  <si>
    <t>87° 27' 51.1"</t>
  </si>
  <si>
    <t>36° 48' 57.9"</t>
  </si>
  <si>
    <t>87° 47' 09.3"</t>
  </si>
  <si>
    <t>40° 03' 08.1"</t>
  </si>
  <si>
    <t>88° 09' 47.2"</t>
  </si>
  <si>
    <t>52° 30' 24.8"</t>
  </si>
  <si>
    <t>90° 16' 15.0"</t>
  </si>
  <si>
    <t>20° 02' 36.7"</t>
  </si>
  <si>
    <t>92° 51' 42.9"</t>
  </si>
  <si>
    <t>39° 04' 15.7"</t>
  </si>
  <si>
    <t>92° 25' 42.0"</t>
  </si>
  <si>
    <t>83° 55' 36.0"</t>
  </si>
  <si>
    <t>89° 55' 05.6"</t>
  </si>
  <si>
    <t>91° 17' 36.8"</t>
  </si>
  <si>
    <t>90° 40' 28.7"</t>
  </si>
  <si>
    <t>88° 21' 24.7"</t>
  </si>
  <si>
    <t>88° 05' 51.4"</t>
  </si>
  <si>
    <t>85° 57' 11.5"</t>
  </si>
  <si>
    <t>83° 40' 55.8"</t>
  </si>
  <si>
    <t>87° 10' 21.7"</t>
  </si>
  <si>
    <t>HZ</t>
  </si>
  <si>
    <t>V</t>
  </si>
  <si>
    <t>D</t>
  </si>
  <si>
    <t>285° 57' 05.5"</t>
  </si>
  <si>
    <t>85° 06' 46.4"</t>
  </si>
  <si>
    <t>301° 47' 34.5"</t>
  </si>
  <si>
    <t>86° 28' 36.0"</t>
  </si>
  <si>
    <t>306° 18' 17.6"</t>
  </si>
  <si>
    <t>86° 51' 08.9"</t>
  </si>
  <si>
    <t>323° 40' 20.2"</t>
  </si>
  <si>
    <t>89° 21' 55.1"</t>
  </si>
  <si>
    <t>100° 38' 43.5"</t>
  </si>
  <si>
    <t>87° 08' 21.9"</t>
  </si>
  <si>
    <t>233° 42' 49.2"</t>
  </si>
  <si>
    <t>82° 25' 44.6"</t>
  </si>
  <si>
    <t>300° 09' 55.0"</t>
  </si>
  <si>
    <t>86° 41' 51.1"</t>
  </si>
  <si>
    <t>297° 00' 35.9"</t>
  </si>
  <si>
    <t>86° 18' 48.9"</t>
  </si>
  <si>
    <t>269° 29' 35.0"</t>
  </si>
  <si>
    <t>83° 58' 18.3"</t>
  </si>
  <si>
    <t>306° 31' 03.8"</t>
  </si>
  <si>
    <t>92° 12' 09.4"</t>
  </si>
  <si>
    <t>294° 09' 50.7"</t>
  </si>
  <si>
    <t>91° 02' 17.7"</t>
  </si>
  <si>
    <t>274° 40' 40.5"</t>
  </si>
  <si>
    <t>89° 06' 05.3"</t>
  </si>
  <si>
    <t>302° 57' 18.0"</t>
  </si>
  <si>
    <t>95° 30' 43.5"</t>
  </si>
  <si>
    <t>89° 03' 34.4"</t>
  </si>
  <si>
    <t>80° 24' 35.4"</t>
  </si>
  <si>
    <t>97° 34' 20.4"</t>
  </si>
  <si>
    <t>94° 30' 18.6"</t>
  </si>
  <si>
    <t>94° 23' 55.9"</t>
  </si>
  <si>
    <t>93° 56' 05.5"</t>
  </si>
  <si>
    <t>99° 02' 59.5"</t>
  </si>
  <si>
    <t>331° 19′ 37.2″</t>
  </si>
  <si>
    <t>83° 27' 41.5"</t>
  </si>
  <si>
    <t>88° 12' 04.53"</t>
  </si>
  <si>
    <t>256° 58′ 19.6″</t>
  </si>
  <si>
    <t>288° 10′ 21.9″</t>
  </si>
  <si>
    <t>232° 25′ 51.2″</t>
  </si>
  <si>
    <t>230° 21′ 49.1″</t>
  </si>
  <si>
    <t>208° 46′ 24.1″</t>
  </si>
  <si>
    <t>170° 12′ 37.9″</t>
  </si>
  <si>
    <t>223° 00′ 12.0″</t>
  </si>
  <si>
    <t>333° 6′ 38.0″</t>
  </si>
  <si>
    <t>241° 59′ 40.5″</t>
  </si>
  <si>
    <t>235° 10′ 33.8″</t>
  </si>
  <si>
    <t>220° 42′ 37.3″</t>
  </si>
  <si>
    <t>245° 37′ 42.8″</t>
  </si>
  <si>
    <t>76° 23' 48.9"</t>
  </si>
  <si>
    <t>91° 48' 02.4"</t>
  </si>
  <si>
    <t>T.t(d)</t>
  </si>
  <si>
    <t>T.t(w)</t>
  </si>
  <si>
    <t>T.i(d)</t>
  </si>
  <si>
    <t>T.i(w)</t>
  </si>
  <si>
    <t>relative_H.i</t>
  </si>
  <si>
    <t>P.i(mb)</t>
  </si>
  <si>
    <t>P.t(mb)</t>
  </si>
  <si>
    <t>relative_H.t</t>
  </si>
  <si>
    <t>corrected_d</t>
  </si>
  <si>
    <t>delta_d(ppm)</t>
  </si>
  <si>
    <t>d_correction(mm)</t>
  </si>
  <si>
    <t>V_decimal</t>
  </si>
  <si>
    <t>00° 00' 00"</t>
  </si>
  <si>
    <t>V_corrected</t>
  </si>
  <si>
    <t>proj_d</t>
  </si>
  <si>
    <t>target_h</t>
  </si>
  <si>
    <t>ins_h</t>
  </si>
  <si>
    <t>proj_d(mean_z)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</si>
</sst>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000"/>
  </numFmts>
  <fonts count="19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8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6" fillId="2" borderId="0" xfId="6"/>
    <xf numFmtId="0" fontId="11" fillId="6" borderId="4" xfId="11"/>
    <xf numFmtId="0" fontId="6" fillId="2" borderId="0" xfId="6" applyBorder="1"/>
    <xf numFmtId="0" fontId="7" fillId="3" borderId="0" xfId="7"/>
    <xf numFmtId="2" fontId="0" fillId="0" borderId="0" xfId="0" applyNumberFormat="1"/>
    <xf numFmtId="0" fontId="1" fillId="10" borderId="10" xfId="19" applyBorder="1"/>
    <xf numFmtId="2" fontId="1" fillId="10" borderId="0" xfId="19" applyNumberFormat="1"/>
    <xf numFmtId="0" fontId="1" fillId="22" borderId="0" xfId="31"/>
    <xf numFmtId="0" fontId="1" fillId="30" borderId="0" xfId="39"/>
    <xf numFmtId="2" fontId="1" fillId="30" borderId="0" xfId="39" applyNumberFormat="1"/>
    <xf numFmtId="0" fontId="1" fillId="14" borderId="0" xfId="23"/>
    <xf numFmtId="0" fontId="1" fillId="10" borderId="0" xfId="19"/>
    <xf numFmtId="0" fontId="1" fillId="18" borderId="0" xfId="27"/>
    <xf numFmtId="2" fontId="1" fillId="22" borderId="0" xfId="31" applyNumberFormat="1"/>
    <xf numFmtId="164" fontId="0" fillId="0" borderId="0" xfId="0" applyNumberFormat="1"/>
    <xf numFmtId="164" fontId="11" fillId="6" borderId="4" xfId="11" applyNumberFormat="1"/>
    <xf numFmtId="0" fontId="11" fillId="6" borderId="4" xfId="11" applyAlignment="1">
      <alignment horizontal="center" vertical="top"/>
    </xf>
    <xf numFmtId="0" fontId="11" fillId="6" borderId="4" xfId="11" applyNumberFormat="1"/>
    <xf numFmtId="165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0.000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V170" totalsRowShown="0">
  <autoFilter ref="A1:V170"/>
  <tableColumns count="22">
    <tableColumn id="1" name="FROM"/>
    <tableColumn id="2" name="TO"/>
    <tableColumn id="3" name="HZ"/>
    <tableColumn id="4" name="V" dataDxfId="1"/>
    <tableColumn id="5" name="D" dataDxfId="0"/>
    <tableColumn id="6" name="P.i(mb)"/>
    <tableColumn id="7" name="T.i(d)"/>
    <tableColumn id="8" name="T.i(w)"/>
    <tableColumn id="9" name="P.t(mb)"/>
    <tableColumn id="10" name="T.t(d)"/>
    <tableColumn id="11" name="T.t(w)"/>
    <tableColumn id="12" name="relative_H.i"/>
    <tableColumn id="13" name="relative_H.t"/>
    <tableColumn id="14" name="delta_d(ppm)"/>
    <tableColumn id="15" name="corrected_d"/>
    <tableColumn id="16" name="d_correction(mm)"/>
    <tableColumn id="17" name="V_decimal"/>
    <tableColumn id="18" name="V_corrected"/>
    <tableColumn id="19" name="proj_d"/>
    <tableColumn id="20" name="ins_h"/>
    <tableColumn id="21" name="target_h"/>
    <tableColumn id="22" name="proj_d(mean_z)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2"/>
  <sheetViews>
    <sheetView tabSelected="1" topLeftCell="N154" zoomScale="120" zoomScaleNormal="120" workbookViewId="0">
      <selection activeCell="T2" sqref="T2:T170"/>
    </sheetView>
  </sheetViews>
  <sheetFormatPr defaultRowHeight="15"/>
  <cols>
    <col min="1" max="1" width="10.140625" customWidth="1"/>
    <col min="2" max="2" width="13.42578125" customWidth="1"/>
    <col min="3" max="3" width="18" customWidth="1"/>
    <col min="4" max="4" width="17.7109375" customWidth="1"/>
    <col min="5" max="5" width="13" style="15" customWidth="1"/>
    <col min="6" max="9" width="10.140625" customWidth="1"/>
    <col min="10" max="10" width="11.140625" customWidth="1"/>
    <col min="11" max="11" width="13.85546875" customWidth="1"/>
    <col min="12" max="12" width="14.42578125" customWidth="1"/>
    <col min="13" max="13" width="13" customWidth="1"/>
    <col min="14" max="14" width="17.28515625" customWidth="1"/>
    <col min="15" max="15" width="16.5703125" customWidth="1"/>
    <col min="16" max="16" width="18.28515625" customWidth="1"/>
    <col min="17" max="17" width="12.7109375" customWidth="1"/>
    <col min="18" max="18" width="14.85546875" customWidth="1"/>
    <col min="19" max="19" width="11.140625" customWidth="1"/>
    <col min="20" max="20" width="13.140625" customWidth="1"/>
    <col min="21" max="21" width="11.42578125" customWidth="1"/>
    <col min="22" max="22" width="16.7109375" customWidth="1"/>
  </cols>
  <sheetData>
    <row r="1" spans="1:22">
      <c r="A1" s="2" t="s">
        <v>20</v>
      </c>
      <c r="B1" s="2" t="s">
        <v>21</v>
      </c>
      <c r="C1" s="2" t="s">
        <v>307</v>
      </c>
      <c r="D1" s="18" t="s">
        <v>308</v>
      </c>
      <c r="E1" s="16" t="s">
        <v>309</v>
      </c>
      <c r="F1" s="2" t="s">
        <v>365</v>
      </c>
      <c r="G1" s="2" t="s">
        <v>362</v>
      </c>
      <c r="H1" s="2" t="s">
        <v>363</v>
      </c>
      <c r="I1" s="2" t="s">
        <v>366</v>
      </c>
      <c r="J1" s="2" t="s">
        <v>360</v>
      </c>
      <c r="K1" s="2" t="s">
        <v>361</v>
      </c>
      <c r="L1" s="17" t="s">
        <v>364</v>
      </c>
      <c r="M1" s="17" t="s">
        <v>367</v>
      </c>
      <c r="N1" s="17" t="s">
        <v>369</v>
      </c>
      <c r="O1" s="17" t="s">
        <v>368</v>
      </c>
      <c r="P1" s="17" t="s">
        <v>370</v>
      </c>
      <c r="Q1" s="2" t="s">
        <v>371</v>
      </c>
      <c r="R1" s="2" t="s">
        <v>373</v>
      </c>
      <c r="S1" s="2" t="s">
        <v>374</v>
      </c>
      <c r="T1" s="2" t="s">
        <v>376</v>
      </c>
      <c r="U1" s="2" t="s">
        <v>375</v>
      </c>
      <c r="V1" s="2" t="s">
        <v>377</v>
      </c>
    </row>
    <row r="2" spans="1:22">
      <c r="A2" s="6" t="s">
        <v>22</v>
      </c>
      <c r="B2" s="3" t="s">
        <v>15</v>
      </c>
      <c r="C2" t="s">
        <v>372</v>
      </c>
      <c r="D2" t="s">
        <v>67</v>
      </c>
      <c r="E2" s="15">
        <v>427.17883999999998</v>
      </c>
      <c r="F2" s="5">
        <v>776</v>
      </c>
      <c r="G2" s="5">
        <v>26.5</v>
      </c>
      <c r="H2" s="5">
        <v>12.5</v>
      </c>
      <c r="I2" s="5">
        <f ca="1">Table2[[#This Row],[P.t(mb)]]-36</f>
        <v>778</v>
      </c>
      <c r="J2" s="5">
        <v>28</v>
      </c>
      <c r="K2" s="5">
        <v>14</v>
      </c>
      <c r="L2">
        <v>21.12732815956246</v>
      </c>
      <c r="M2">
        <v>23.240492525100269</v>
      </c>
      <c r="N2">
        <v>78.041968542292238</v>
      </c>
      <c r="O2">
        <v>427.21217787759321</v>
      </c>
      <c r="P2">
        <v>3.3337877593212883E-2</v>
      </c>
      <c r="S2">
        <v>427.07312601125682</v>
      </c>
      <c r="T2" s="19">
        <v>2275.3547800000001</v>
      </c>
    </row>
    <row r="3" spans="1:22">
      <c r="A3" s="6" t="s">
        <v>22</v>
      </c>
      <c r="B3" t="s">
        <v>0</v>
      </c>
      <c r="C3" t="s">
        <v>1</v>
      </c>
      <c r="D3" t="s">
        <v>2</v>
      </c>
      <c r="E3" s="15">
        <v>332.36689999999999</v>
      </c>
      <c r="F3" s="5">
        <v>776</v>
      </c>
      <c r="G3" s="5">
        <v>26.5</v>
      </c>
      <c r="H3" s="5">
        <v>12.5</v>
      </c>
      <c r="I3" s="5">
        <f ca="1">Table2[[#This Row],[P.t(mb)]]-36</f>
        <v>778</v>
      </c>
      <c r="J3" s="5">
        <v>29</v>
      </c>
      <c r="K3" s="5">
        <v>14</v>
      </c>
      <c r="L3">
        <v>21.12732815956246</v>
      </c>
      <c r="M3">
        <v>20.644700235637028</v>
      </c>
      <c r="N3">
        <v>78.378903129675194</v>
      </c>
      <c r="O3">
        <v>332.3929505530586</v>
      </c>
      <c r="P3">
        <v>2.605055305861044E-2</v>
      </c>
      <c r="S3">
        <v>332.39288148630283</v>
      </c>
      <c r="T3" s="19">
        <v>2275.3547800000001</v>
      </c>
    </row>
    <row r="4" spans="1:22">
      <c r="A4" s="6" t="s">
        <v>22</v>
      </c>
      <c r="B4" t="s">
        <v>3</v>
      </c>
      <c r="C4" t="s">
        <v>4</v>
      </c>
      <c r="D4" t="s">
        <v>5</v>
      </c>
      <c r="E4" s="15">
        <v>211.35429999999999</v>
      </c>
      <c r="F4" s="5">
        <v>776</v>
      </c>
      <c r="G4" s="5">
        <v>26.5</v>
      </c>
      <c r="H4" s="5">
        <v>12.5</v>
      </c>
      <c r="I4" s="5">
        <f ca="1">Table2[[#This Row],[P.t(mb)]]-36</f>
        <v>778</v>
      </c>
      <c r="J4" s="5">
        <v>29</v>
      </c>
      <c r="K4" s="5">
        <v>14</v>
      </c>
      <c r="L4">
        <v>21.12732815956246</v>
      </c>
      <c r="M4">
        <v>20.644700235637028</v>
      </c>
      <c r="N4">
        <v>78.378903129675194</v>
      </c>
      <c r="O4">
        <v>211.37086571820569</v>
      </c>
      <c r="P4">
        <v>1.656571820574031E-2</v>
      </c>
      <c r="S4">
        <v>211.31950191939401</v>
      </c>
      <c r="T4" s="19">
        <v>2275.3547800000001</v>
      </c>
    </row>
    <row r="5" spans="1:22">
      <c r="A5" s="6" t="s">
        <v>22</v>
      </c>
      <c r="B5" t="s">
        <v>6</v>
      </c>
      <c r="C5" t="s">
        <v>7</v>
      </c>
      <c r="D5" t="s">
        <v>8</v>
      </c>
      <c r="E5" s="15">
        <v>192.50309999999999</v>
      </c>
      <c r="F5" s="5">
        <v>776</v>
      </c>
      <c r="G5" s="5">
        <v>26.5</v>
      </c>
      <c r="H5" s="5">
        <v>12.5</v>
      </c>
      <c r="I5" s="5">
        <f ca="1">Table2[[#This Row],[P.t(mb)]]-36</f>
        <v>778</v>
      </c>
      <c r="J5" s="5">
        <v>29</v>
      </c>
      <c r="K5" s="5">
        <v>14</v>
      </c>
      <c r="L5">
        <v>21.12732815956246</v>
      </c>
      <c r="M5">
        <v>20.644700235637028</v>
      </c>
      <c r="N5">
        <v>78.378903129675194</v>
      </c>
      <c r="O5">
        <v>192.51818818182701</v>
      </c>
      <c r="P5">
        <v>1.508818182706218E-2</v>
      </c>
      <c r="S5">
        <v>192.51746646605829</v>
      </c>
      <c r="T5" s="19">
        <v>2275.3547800000001</v>
      </c>
    </row>
    <row r="6" spans="1:22">
      <c r="A6" s="6" t="s">
        <v>22</v>
      </c>
      <c r="B6" t="s">
        <v>9</v>
      </c>
      <c r="C6" t="s">
        <v>10</v>
      </c>
      <c r="D6" t="s">
        <v>11</v>
      </c>
      <c r="E6" s="15">
        <v>223.20699999999999</v>
      </c>
      <c r="F6" s="5">
        <v>776</v>
      </c>
      <c r="G6" s="5">
        <v>26.5</v>
      </c>
      <c r="H6" s="5">
        <v>12.5</v>
      </c>
      <c r="I6" s="5">
        <f ca="1">Table2[[#This Row],[P.t(mb)]]-36</f>
        <v>780</v>
      </c>
      <c r="J6" s="5">
        <v>29</v>
      </c>
      <c r="K6" s="5">
        <v>14</v>
      </c>
      <c r="L6">
        <v>21.12732815956246</v>
      </c>
      <c r="M6">
        <v>20.595158098607829</v>
      </c>
      <c r="N6">
        <v>78.110536620257847</v>
      </c>
      <c r="O6">
        <v>223.22443481854739</v>
      </c>
      <c r="P6">
        <v>1.7434818547397889E-2</v>
      </c>
      <c r="S6">
        <v>222.30709541775411</v>
      </c>
      <c r="T6" s="19">
        <v>2275.3547800000001</v>
      </c>
    </row>
    <row r="7" spans="1:22">
      <c r="A7" s="6" t="s">
        <v>22</v>
      </c>
      <c r="B7" t="s">
        <v>12</v>
      </c>
      <c r="C7" t="s">
        <v>13</v>
      </c>
      <c r="D7" t="s">
        <v>14</v>
      </c>
      <c r="E7" s="15">
        <v>435.93150000000003</v>
      </c>
      <c r="F7" s="5">
        <v>776</v>
      </c>
      <c r="G7" s="5">
        <v>26.5</v>
      </c>
      <c r="H7" s="5">
        <v>12.5</v>
      </c>
      <c r="I7" s="5">
        <f ca="1">Table2[[#This Row],[P.t(mb)]]-36</f>
        <v>781</v>
      </c>
      <c r="J7" s="5">
        <v>29</v>
      </c>
      <c r="K7" s="5">
        <v>14</v>
      </c>
      <c r="L7">
        <v>21.12732815956246</v>
      </c>
      <c r="M7">
        <v>20.570387030093229</v>
      </c>
      <c r="N7">
        <v>77.976353365549159</v>
      </c>
      <c r="O7">
        <v>435.96549234868718</v>
      </c>
      <c r="P7">
        <v>3.3992348687173893E-2</v>
      </c>
      <c r="S7">
        <v>435.618921271631</v>
      </c>
      <c r="T7" s="19">
        <v>2275.3547800000001</v>
      </c>
    </row>
    <row r="8" spans="1:22">
      <c r="A8" s="6" t="s">
        <v>22</v>
      </c>
      <c r="B8" t="s">
        <v>23</v>
      </c>
      <c r="C8" t="s">
        <v>24</v>
      </c>
      <c r="D8" t="s">
        <v>25</v>
      </c>
      <c r="E8" s="15">
        <v>380.53219999999999</v>
      </c>
      <c r="F8" s="5">
        <v>776</v>
      </c>
      <c r="G8" s="5">
        <v>27.5</v>
      </c>
      <c r="H8" s="5">
        <v>12.5</v>
      </c>
      <c r="I8" s="5">
        <f ca="1">Table2[[#This Row],[P.t(mb)]]-36</f>
        <v>778</v>
      </c>
      <c r="J8" s="5">
        <v>29</v>
      </c>
      <c r="K8" s="5">
        <v>14</v>
      </c>
      <c r="L8">
        <v>18.524313553524859</v>
      </c>
      <c r="M8">
        <v>20.644700235637028</v>
      </c>
      <c r="N8">
        <v>78.713829257026561</v>
      </c>
      <c r="O8">
        <v>380.56215314661762</v>
      </c>
      <c r="P8">
        <v>2.9953146617600679E-2</v>
      </c>
      <c r="S8">
        <v>380.51128735687479</v>
      </c>
      <c r="T8" s="19">
        <v>2275.3547800000001</v>
      </c>
    </row>
    <row r="9" spans="1:22">
      <c r="A9" s="6" t="s">
        <v>22</v>
      </c>
      <c r="B9" t="s">
        <v>26</v>
      </c>
      <c r="C9" t="s">
        <v>27</v>
      </c>
      <c r="D9" t="s">
        <v>28</v>
      </c>
      <c r="E9" s="15">
        <v>326.07470000000001</v>
      </c>
      <c r="F9" s="5">
        <v>776</v>
      </c>
      <c r="G9" s="5">
        <v>27.5</v>
      </c>
      <c r="H9" s="5">
        <v>12.5</v>
      </c>
      <c r="I9" s="5">
        <f ca="1">Table2[[#This Row],[P.t(mb)]]-36</f>
        <v>778</v>
      </c>
      <c r="J9" s="5">
        <v>29</v>
      </c>
      <c r="K9" s="5">
        <v>14</v>
      </c>
      <c r="L9">
        <v>18.524313553524859</v>
      </c>
      <c r="M9">
        <v>20.644700235637028</v>
      </c>
      <c r="N9">
        <v>78.713829257026561</v>
      </c>
      <c r="O9">
        <v>326.10036658826078</v>
      </c>
      <c r="P9">
        <v>2.5666588260836159E-2</v>
      </c>
      <c r="S9">
        <v>326.06084922115508</v>
      </c>
      <c r="T9" s="19">
        <v>2275.3547800000001</v>
      </c>
    </row>
    <row r="10" spans="1:22">
      <c r="A10" s="6" t="s">
        <v>22</v>
      </c>
      <c r="B10" t="s">
        <v>16</v>
      </c>
      <c r="C10" t="s">
        <v>17</v>
      </c>
      <c r="D10" t="s">
        <v>18</v>
      </c>
      <c r="E10" s="15">
        <v>407.62439999999998</v>
      </c>
      <c r="F10" s="5">
        <v>776</v>
      </c>
      <c r="G10" s="5">
        <v>26.5</v>
      </c>
      <c r="H10" s="5">
        <v>12</v>
      </c>
      <c r="I10" s="5">
        <f ca="1">Table2[[#This Row],[P.t(mb)]]-36</f>
        <v>781</v>
      </c>
      <c r="J10" s="5">
        <v>28</v>
      </c>
      <c r="K10" s="5">
        <v>14</v>
      </c>
      <c r="L10">
        <v>19.032468154956678</v>
      </c>
      <c r="M10">
        <v>23.166987080527711</v>
      </c>
      <c r="N10">
        <v>77.62455919190262</v>
      </c>
      <c r="O10">
        <v>407.65604166436577</v>
      </c>
      <c r="P10">
        <v>3.1641664365863791E-2</v>
      </c>
      <c r="S10">
        <v>407.25640421502987</v>
      </c>
      <c r="T10" s="19">
        <v>2275.3547800000001</v>
      </c>
    </row>
    <row r="11" spans="1:22">
      <c r="A11" s="6" t="s">
        <v>22</v>
      </c>
      <c r="B11" t="s">
        <v>19</v>
      </c>
      <c r="C11" t="s">
        <v>33</v>
      </c>
      <c r="D11" t="s">
        <v>32</v>
      </c>
      <c r="E11" s="15">
        <v>238.15035</v>
      </c>
      <c r="F11" s="5">
        <v>776</v>
      </c>
      <c r="G11" s="5">
        <v>26.5</v>
      </c>
      <c r="H11" s="5">
        <v>12</v>
      </c>
      <c r="I11" s="5">
        <f ca="1">Table2[[#This Row],[P.t(mb)]]-36</f>
        <v>780</v>
      </c>
      <c r="J11" s="5">
        <v>28</v>
      </c>
      <c r="K11" s="5">
        <v>14</v>
      </c>
      <c r="L11">
        <v>19.032468154956678</v>
      </c>
      <c r="M11">
        <v>23.191488895385231</v>
      </c>
      <c r="N11">
        <v>77.758958978590641</v>
      </c>
      <c r="O11">
        <v>238.16886832329641</v>
      </c>
      <c r="P11">
        <v>1.8518323296387001E-2</v>
      </c>
      <c r="S11">
        <v>237.87880742674329</v>
      </c>
      <c r="T11" s="19">
        <v>2275.3547800000001</v>
      </c>
    </row>
    <row r="12" spans="1:22">
      <c r="A12" s="6" t="s">
        <v>22</v>
      </c>
      <c r="B12" t="s">
        <v>29</v>
      </c>
      <c r="C12" t="s">
        <v>30</v>
      </c>
      <c r="D12" t="s">
        <v>31</v>
      </c>
      <c r="E12" s="15">
        <v>284.55930000000001</v>
      </c>
      <c r="F12" s="5">
        <v>776</v>
      </c>
      <c r="G12" s="5">
        <v>27.5</v>
      </c>
      <c r="H12" s="5">
        <v>12</v>
      </c>
      <c r="I12" s="5">
        <f ca="1">Table2[[#This Row],[P.t(mb)]]-36</f>
        <v>781</v>
      </c>
      <c r="J12" s="5">
        <v>29</v>
      </c>
      <c r="K12" s="5">
        <v>14</v>
      </c>
      <c r="L12">
        <v>16.548902732547891</v>
      </c>
      <c r="M12">
        <v>20.570387030093229</v>
      </c>
      <c r="N12">
        <v>78.297774498991316</v>
      </c>
      <c r="O12">
        <v>284.581580359903</v>
      </c>
      <c r="P12">
        <v>2.2280359902990821E-2</v>
      </c>
      <c r="S12">
        <v>283.5464975850731</v>
      </c>
      <c r="T12" s="19">
        <v>2275.3547800000001</v>
      </c>
    </row>
    <row r="13" spans="1:22">
      <c r="A13" s="6" t="s">
        <v>22</v>
      </c>
      <c r="B13" t="s">
        <v>52</v>
      </c>
      <c r="C13" t="s">
        <v>53</v>
      </c>
      <c r="D13" t="s">
        <v>54</v>
      </c>
      <c r="E13" s="15">
        <v>146.33080000000001</v>
      </c>
      <c r="F13" s="5">
        <v>776</v>
      </c>
      <c r="G13" s="5">
        <v>27</v>
      </c>
      <c r="H13" s="5">
        <v>12</v>
      </c>
      <c r="I13" s="5">
        <f ca="1">Table2[[#This Row],[P.t(mb)]]-36</f>
        <v>778</v>
      </c>
      <c r="J13" s="5">
        <v>27</v>
      </c>
      <c r="K13" s="5">
        <v>12</v>
      </c>
      <c r="L13">
        <v>17.760928257413699</v>
      </c>
      <c r="M13">
        <v>17.705261629085101</v>
      </c>
      <c r="N13">
        <v>77.804538936587818</v>
      </c>
      <c r="O13">
        <v>146.3421852004262</v>
      </c>
      <c r="P13">
        <v>1.1385200426222051E-2</v>
      </c>
      <c r="S13">
        <v>146.33937033648661</v>
      </c>
      <c r="T13" s="19">
        <v>2275.3547800000001</v>
      </c>
    </row>
    <row r="14" spans="1:22">
      <c r="A14" s="6" t="s">
        <v>22</v>
      </c>
      <c r="B14" t="s">
        <v>40</v>
      </c>
      <c r="C14" t="s">
        <v>41</v>
      </c>
      <c r="D14" t="s">
        <v>42</v>
      </c>
      <c r="E14" s="15">
        <v>106.5265</v>
      </c>
      <c r="F14" s="5">
        <v>776</v>
      </c>
      <c r="G14" s="5">
        <v>24.5</v>
      </c>
      <c r="H14" s="5">
        <v>10</v>
      </c>
      <c r="I14" s="5">
        <f ca="1">Table2[[#This Row],[P.t(mb)]]-36</f>
        <v>778</v>
      </c>
      <c r="J14" s="5">
        <v>24.5</v>
      </c>
      <c r="K14" s="5">
        <v>10</v>
      </c>
      <c r="L14">
        <v>15.76064377434534</v>
      </c>
      <c r="M14">
        <v>15.698240000729569</v>
      </c>
      <c r="N14">
        <v>75.996780246895753</v>
      </c>
      <c r="O14">
        <v>106.534595671011</v>
      </c>
      <c r="P14">
        <v>8.0956710109709399E-3</v>
      </c>
      <c r="S14">
        <v>106.53296032346741</v>
      </c>
      <c r="T14" s="19">
        <v>2275.3547800000001</v>
      </c>
    </row>
    <row r="15" spans="1:22">
      <c r="A15" s="6" t="s">
        <v>22</v>
      </c>
      <c r="B15" t="s">
        <v>43</v>
      </c>
      <c r="C15" t="s">
        <v>44</v>
      </c>
      <c r="D15" t="s">
        <v>45</v>
      </c>
      <c r="E15" s="15">
        <v>13.494</v>
      </c>
      <c r="F15" s="5">
        <v>776</v>
      </c>
      <c r="G15" s="5">
        <v>24.5</v>
      </c>
      <c r="H15" s="5">
        <v>10</v>
      </c>
      <c r="I15" s="5">
        <f ca="1">Table2[[#This Row],[P.t(mb)]]-36</f>
        <v>778</v>
      </c>
      <c r="J15" s="5">
        <v>24.5</v>
      </c>
      <c r="K15" s="5">
        <v>10</v>
      </c>
      <c r="L15">
        <v>15.76064377434534</v>
      </c>
      <c r="M15">
        <v>15.698240000729569</v>
      </c>
      <c r="N15">
        <v>75.996780246895753</v>
      </c>
      <c r="O15">
        <v>13.49502550055265</v>
      </c>
      <c r="P15">
        <v>1.025500552651611E-3</v>
      </c>
      <c r="S15">
        <v>13.48184954735823</v>
      </c>
      <c r="T15" s="19">
        <v>2275.3547800000001</v>
      </c>
    </row>
    <row r="16" spans="1:22">
      <c r="A16" s="6" t="s">
        <v>22</v>
      </c>
      <c r="B16" t="s">
        <v>46</v>
      </c>
      <c r="C16" t="s">
        <v>47</v>
      </c>
      <c r="D16" t="s">
        <v>48</v>
      </c>
      <c r="E16" s="15">
        <v>94.955699999999993</v>
      </c>
      <c r="F16" s="5">
        <v>776</v>
      </c>
      <c r="G16" s="5">
        <v>24.5</v>
      </c>
      <c r="H16" s="5">
        <v>10</v>
      </c>
      <c r="I16" s="5">
        <f ca="1">Table2[[#This Row],[P.t(mb)]]-36</f>
        <v>778</v>
      </c>
      <c r="J16" s="5">
        <v>24.5</v>
      </c>
      <c r="K16" s="5">
        <v>10</v>
      </c>
      <c r="L16">
        <v>15.76064377434534</v>
      </c>
      <c r="M16">
        <v>15.698240000729569</v>
      </c>
      <c r="N16">
        <v>75.996780246895753</v>
      </c>
      <c r="O16">
        <v>94.96291632746609</v>
      </c>
      <c r="P16">
        <v>7.2163274660901576E-3</v>
      </c>
      <c r="S16">
        <v>94.961118942937205</v>
      </c>
      <c r="T16" s="19">
        <v>2275.3547800000001</v>
      </c>
    </row>
    <row r="17" spans="1:44">
      <c r="A17" s="6" t="s">
        <v>22</v>
      </c>
      <c r="B17" t="s">
        <v>55</v>
      </c>
      <c r="C17" t="s">
        <v>56</v>
      </c>
      <c r="D17" t="s">
        <v>57</v>
      </c>
      <c r="E17" s="15">
        <v>194.56209999999999</v>
      </c>
      <c r="F17" s="5">
        <v>776</v>
      </c>
      <c r="G17" s="5">
        <v>27</v>
      </c>
      <c r="H17" s="5">
        <v>12</v>
      </c>
      <c r="I17" s="5">
        <f ca="1">Table2[[#This Row],[P.t(mb)]]-36</f>
        <v>778</v>
      </c>
      <c r="J17" s="5">
        <v>27</v>
      </c>
      <c r="K17" s="5">
        <v>12</v>
      </c>
      <c r="L17">
        <v>17.760928257413699</v>
      </c>
      <c r="M17">
        <v>17.705261629085101</v>
      </c>
      <c r="N17">
        <v>77.804538936587818</v>
      </c>
      <c r="O17">
        <v>194.57723781448499</v>
      </c>
      <c r="P17">
        <v>1.513781448503429E-2</v>
      </c>
      <c r="S17">
        <v>194.576371354477</v>
      </c>
      <c r="T17" s="19">
        <v>2275.3547800000001</v>
      </c>
    </row>
    <row r="18" spans="1:44">
      <c r="A18" s="6" t="s">
        <v>22</v>
      </c>
      <c r="B18" t="s">
        <v>49</v>
      </c>
      <c r="C18" t="s">
        <v>50</v>
      </c>
      <c r="D18" t="s">
        <v>51</v>
      </c>
      <c r="E18" s="15">
        <v>331.30939999999998</v>
      </c>
      <c r="F18" s="5">
        <v>776</v>
      </c>
      <c r="G18" s="5">
        <v>24.5</v>
      </c>
      <c r="H18" s="5">
        <v>10</v>
      </c>
      <c r="I18" s="5">
        <f ca="1">Table2[[#This Row],[P.t(mb)]]-36</f>
        <v>778</v>
      </c>
      <c r="J18" s="5">
        <v>24.5</v>
      </c>
      <c r="K18" s="5">
        <v>10</v>
      </c>
      <c r="L18">
        <v>15.76064377434534</v>
      </c>
      <c r="M18">
        <v>15.698240000729569</v>
      </c>
      <c r="N18">
        <v>75.996780246895753</v>
      </c>
      <c r="O18">
        <v>331.33457844766548</v>
      </c>
      <c r="P18">
        <v>2.517844766553088E-2</v>
      </c>
      <c r="S18">
        <v>331.33408951638398</v>
      </c>
      <c r="T18" s="19">
        <v>2275.3547800000001</v>
      </c>
    </row>
    <row r="19" spans="1:44">
      <c r="A19" s="6" t="s">
        <v>22</v>
      </c>
      <c r="B19" t="s">
        <v>58</v>
      </c>
      <c r="C19" t="s">
        <v>59</v>
      </c>
      <c r="D19" t="s">
        <v>60</v>
      </c>
      <c r="E19" s="15">
        <v>129.5326</v>
      </c>
      <c r="F19" s="5">
        <v>776</v>
      </c>
      <c r="G19" s="5">
        <v>27</v>
      </c>
      <c r="H19" s="5">
        <v>12</v>
      </c>
      <c r="I19" s="5">
        <f ca="1">Table2[[#This Row],[P.t(mb)]]-36</f>
        <v>782</v>
      </c>
      <c r="J19" s="5">
        <v>28.5</v>
      </c>
      <c r="K19" s="5">
        <v>13</v>
      </c>
      <c r="L19">
        <v>17.760928257413699</v>
      </c>
      <c r="M19">
        <v>17.897183825140669</v>
      </c>
      <c r="N19">
        <v>77.800229866964315</v>
      </c>
      <c r="O19">
        <v>129.54267766605531</v>
      </c>
      <c r="P19">
        <v>1.0077666055265539E-2</v>
      </c>
      <c r="S19">
        <v>124.05694018408241</v>
      </c>
      <c r="T19" s="19">
        <v>2275.3547800000001</v>
      </c>
    </row>
    <row r="20" spans="1:44">
      <c r="A20" s="6" t="s">
        <v>22</v>
      </c>
      <c r="B20" t="s">
        <v>61</v>
      </c>
      <c r="C20" t="s">
        <v>62</v>
      </c>
      <c r="D20" t="s">
        <v>63</v>
      </c>
      <c r="E20" s="15">
        <v>102.9751</v>
      </c>
      <c r="F20" s="5">
        <v>776</v>
      </c>
      <c r="G20" s="5">
        <v>27</v>
      </c>
      <c r="H20" s="5">
        <v>12</v>
      </c>
      <c r="I20" s="5">
        <f ca="1">Table2[[#This Row],[P.t(mb)]]-36</f>
        <v>780</v>
      </c>
      <c r="J20" s="5">
        <v>28.5</v>
      </c>
      <c r="K20" s="5">
        <v>13</v>
      </c>
      <c r="L20">
        <v>17.760928257413699</v>
      </c>
      <c r="M20">
        <v>17.94988257758224</v>
      </c>
      <c r="N20">
        <v>78.068618386841763</v>
      </c>
      <c r="O20">
        <v>102.98313912378531</v>
      </c>
      <c r="P20">
        <v>8.039123785246868E-3</v>
      </c>
      <c r="S20">
        <v>100.77582876480081</v>
      </c>
      <c r="T20" s="19">
        <v>2275.3547800000001</v>
      </c>
    </row>
    <row r="21" spans="1:44">
      <c r="A21" s="6" t="s">
        <v>22</v>
      </c>
      <c r="B21" t="s">
        <v>64</v>
      </c>
      <c r="C21" t="s">
        <v>65</v>
      </c>
      <c r="D21" t="s">
        <v>66</v>
      </c>
      <c r="E21" s="15">
        <v>101.0831</v>
      </c>
      <c r="F21" s="5">
        <v>776</v>
      </c>
      <c r="G21" s="5">
        <v>27</v>
      </c>
      <c r="H21" s="5">
        <v>12</v>
      </c>
      <c r="I21" s="5">
        <f ca="1">Table2[[#This Row],[P.t(mb)]]-36</f>
        <v>783</v>
      </c>
      <c r="J21" s="5">
        <v>28.5</v>
      </c>
      <c r="K21" s="5">
        <v>13</v>
      </c>
      <c r="L21">
        <v>17.760928257413699</v>
      </c>
      <c r="M21">
        <v>17.870834448919879</v>
      </c>
      <c r="N21">
        <v>77.666035607025606</v>
      </c>
      <c r="O21">
        <v>101.0909507236439</v>
      </c>
      <c r="P21">
        <v>7.8507236438685301E-3</v>
      </c>
      <c r="S21">
        <v>89.401895355655569</v>
      </c>
      <c r="T21" s="19">
        <v>2275.3547800000001</v>
      </c>
    </row>
    <row r="22" spans="1:44" s="4" customFormat="1">
      <c r="A22" s="7" t="s">
        <v>22</v>
      </c>
      <c r="B22" s="5" t="s">
        <v>34</v>
      </c>
      <c r="C22" s="5" t="s">
        <v>35</v>
      </c>
      <c r="D22" t="s">
        <v>36</v>
      </c>
      <c r="E22" s="15">
        <v>337.9067</v>
      </c>
      <c r="F22" s="5">
        <v>776</v>
      </c>
      <c r="G22" s="5">
        <v>24.5</v>
      </c>
      <c r="H22" s="5">
        <v>10</v>
      </c>
      <c r="I22" s="5">
        <v>781</v>
      </c>
      <c r="J22" s="5">
        <v>26</v>
      </c>
      <c r="K22" s="5">
        <v>12</v>
      </c>
      <c r="L22">
        <v>15.76064377434534</v>
      </c>
      <c r="M22">
        <v>20.22854059057979</v>
      </c>
      <c r="N22">
        <v>76.155899604686311</v>
      </c>
      <c r="O22">
        <v>337.93243358872093</v>
      </c>
      <c r="P22">
        <v>2.573358872095086E-2</v>
      </c>
      <c r="Q22"/>
      <c r="R22"/>
      <c r="S22">
        <v>337.36079664948772</v>
      </c>
      <c r="T22" s="19">
        <v>2275.3547800000001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s="4" customFormat="1">
      <c r="A23" s="7" t="s">
        <v>22</v>
      </c>
      <c r="B23" s="5" t="s">
        <v>37</v>
      </c>
      <c r="C23" s="5" t="s">
        <v>38</v>
      </c>
      <c r="D23" t="s">
        <v>39</v>
      </c>
      <c r="E23" s="15">
        <v>208.49700000000001</v>
      </c>
      <c r="F23" s="5">
        <v>776</v>
      </c>
      <c r="G23" s="5">
        <v>24.5</v>
      </c>
      <c r="H23" s="5">
        <v>10</v>
      </c>
      <c r="I23" s="5">
        <v>778</v>
      </c>
      <c r="J23" s="5">
        <v>25</v>
      </c>
      <c r="K23" s="5">
        <v>11</v>
      </c>
      <c r="L23">
        <v>15.76064377434534</v>
      </c>
      <c r="M23">
        <v>18.720854662877422</v>
      </c>
      <c r="N23">
        <v>76.19388817572252</v>
      </c>
      <c r="O23">
        <v>208.512886197103</v>
      </c>
      <c r="P23">
        <v>1.588619710297362E-2</v>
      </c>
      <c r="Q23"/>
      <c r="R23"/>
      <c r="S23">
        <v>208.47419604465821</v>
      </c>
      <c r="T23" s="19">
        <v>2275.3547800000001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>
      <c r="A24" s="8" t="s">
        <v>0</v>
      </c>
      <c r="B24" s="1" t="s">
        <v>3</v>
      </c>
      <c r="C24" t="s">
        <v>372</v>
      </c>
      <c r="D24" t="s">
        <v>90</v>
      </c>
      <c r="E24" s="15">
        <v>248.06360000000001</v>
      </c>
      <c r="F24" s="5">
        <v>778</v>
      </c>
      <c r="G24" s="5">
        <v>20.5</v>
      </c>
      <c r="H24" s="5">
        <v>9</v>
      </c>
      <c r="I24" s="5">
        <f>814-36</f>
        <v>778</v>
      </c>
      <c r="J24" s="5">
        <v>21</v>
      </c>
      <c r="K24" s="5">
        <v>10</v>
      </c>
      <c r="L24">
        <v>23.108435475745139</v>
      </c>
      <c r="M24">
        <v>26.651662674570339</v>
      </c>
      <c r="N24">
        <v>73.086694397663763</v>
      </c>
      <c r="O24">
        <v>248.0817301485244</v>
      </c>
      <c r="P24">
        <v>1.8130148524384309E-2</v>
      </c>
      <c r="S24">
        <v>248.04181666326051</v>
      </c>
      <c r="T24" s="19">
        <v>2275.5515</v>
      </c>
    </row>
    <row r="25" spans="1:44">
      <c r="A25" s="8" t="s">
        <v>0</v>
      </c>
      <c r="B25" t="s">
        <v>22</v>
      </c>
      <c r="C25" t="s">
        <v>68</v>
      </c>
      <c r="D25" t="s">
        <v>69</v>
      </c>
      <c r="E25" s="15">
        <v>332.36849999999998</v>
      </c>
      <c r="F25" s="5">
        <v>778</v>
      </c>
      <c r="G25" s="5">
        <v>20.5</v>
      </c>
      <c r="H25" s="5">
        <v>9</v>
      </c>
      <c r="I25" s="5">
        <f t="shared" ref="I25:I35" si="0">814-36</f>
        <v>778</v>
      </c>
      <c r="J25" s="5">
        <v>22</v>
      </c>
      <c r="K25" s="5">
        <v>12</v>
      </c>
      <c r="L25">
        <v>23.108435475745139</v>
      </c>
      <c r="M25">
        <v>33.612321421669257</v>
      </c>
      <c r="N25">
        <v>73.489778889822986</v>
      </c>
      <c r="O25">
        <v>332.39292568757492</v>
      </c>
      <c r="P25">
        <v>2.442568757494213E-2</v>
      </c>
      <c r="S25">
        <v>332.39285655535798</v>
      </c>
      <c r="T25" s="19">
        <v>2275.5515</v>
      </c>
    </row>
    <row r="26" spans="1:44">
      <c r="A26" s="8" t="s">
        <v>0</v>
      </c>
      <c r="B26" t="s">
        <v>6</v>
      </c>
      <c r="C26" t="s">
        <v>70</v>
      </c>
      <c r="D26" t="s">
        <v>71</v>
      </c>
      <c r="E26" s="15">
        <v>295.89550000000003</v>
      </c>
      <c r="F26" s="5">
        <v>778</v>
      </c>
      <c r="G26" s="5">
        <v>20.5</v>
      </c>
      <c r="H26" s="5">
        <v>9</v>
      </c>
      <c r="I26" s="5">
        <f t="shared" si="0"/>
        <v>778</v>
      </c>
      <c r="J26" s="5">
        <v>22</v>
      </c>
      <c r="K26" s="5">
        <v>12</v>
      </c>
      <c r="L26">
        <v>23.108435475745139</v>
      </c>
      <c r="M26">
        <v>33.612321421669257</v>
      </c>
      <c r="N26">
        <v>73.489778889822986</v>
      </c>
      <c r="O26">
        <v>295.91724529486947</v>
      </c>
      <c r="P26">
        <v>2.1745294869493621E-2</v>
      </c>
      <c r="S26">
        <v>295.91630846870129</v>
      </c>
      <c r="T26" s="19">
        <v>2275.5515</v>
      </c>
    </row>
    <row r="27" spans="1:44">
      <c r="A27" s="8" t="s">
        <v>0</v>
      </c>
      <c r="B27" t="s">
        <v>15</v>
      </c>
      <c r="C27" t="s">
        <v>72</v>
      </c>
      <c r="D27" t="s">
        <v>73</v>
      </c>
      <c r="E27" s="15">
        <v>597.9248</v>
      </c>
      <c r="F27" s="5">
        <v>778</v>
      </c>
      <c r="G27" s="5">
        <v>20.5</v>
      </c>
      <c r="H27" s="5">
        <v>9</v>
      </c>
      <c r="I27" s="5">
        <f t="shared" si="0"/>
        <v>778</v>
      </c>
      <c r="J27" s="5">
        <v>22</v>
      </c>
      <c r="K27" s="5">
        <v>12</v>
      </c>
      <c r="L27">
        <v>23.108435475745139</v>
      </c>
      <c r="M27">
        <v>33.612321421669257</v>
      </c>
      <c r="N27">
        <v>73.489778889822986</v>
      </c>
      <c r="O27">
        <v>597.96874136134477</v>
      </c>
      <c r="P27">
        <v>4.3941361344741629E-2</v>
      </c>
      <c r="S27">
        <v>597.87316841139614</v>
      </c>
      <c r="T27" s="19">
        <v>2275.5515</v>
      </c>
    </row>
    <row r="28" spans="1:44">
      <c r="A28" s="8" t="s">
        <v>0</v>
      </c>
      <c r="B28" t="s">
        <v>23</v>
      </c>
      <c r="C28" t="s">
        <v>80</v>
      </c>
      <c r="D28" t="s">
        <v>81</v>
      </c>
      <c r="E28" s="15">
        <v>601.9008</v>
      </c>
      <c r="F28" s="5">
        <v>778</v>
      </c>
      <c r="G28" s="5">
        <v>22</v>
      </c>
      <c r="H28" s="5">
        <v>9.5</v>
      </c>
      <c r="I28" s="5">
        <f t="shared" si="0"/>
        <v>778</v>
      </c>
      <c r="J28" s="5">
        <v>22.5</v>
      </c>
      <c r="K28" s="5">
        <v>10</v>
      </c>
      <c r="L28">
        <v>20.61838525639315</v>
      </c>
      <c r="M28">
        <v>21.48617515877763</v>
      </c>
      <c r="N28">
        <v>74.152715680072191</v>
      </c>
      <c r="O28">
        <v>601.94543257889006</v>
      </c>
      <c r="P28">
        <v>4.4632578890007997E-2</v>
      </c>
      <c r="S28">
        <v>601.91537715831362</v>
      </c>
      <c r="T28" s="19">
        <v>2275.5515</v>
      </c>
    </row>
    <row r="29" spans="1:44">
      <c r="A29" s="8" t="s">
        <v>0</v>
      </c>
      <c r="B29" t="s">
        <v>26</v>
      </c>
      <c r="C29" t="s">
        <v>74</v>
      </c>
      <c r="D29" t="s">
        <v>75</v>
      </c>
      <c r="E29" s="15">
        <v>621.37530000000004</v>
      </c>
      <c r="F29" s="5">
        <v>778</v>
      </c>
      <c r="G29" s="5">
        <v>20.5</v>
      </c>
      <c r="H29" s="5">
        <v>9</v>
      </c>
      <c r="I29" s="5">
        <f t="shared" si="0"/>
        <v>778</v>
      </c>
      <c r="J29" s="5">
        <v>22</v>
      </c>
      <c r="K29" s="5">
        <v>12</v>
      </c>
      <c r="L29">
        <v>23.108435475745139</v>
      </c>
      <c r="M29">
        <v>33.612321421669257</v>
      </c>
      <c r="N29">
        <v>73.489778889822986</v>
      </c>
      <c r="O29">
        <v>621.42096473340462</v>
      </c>
      <c r="P29">
        <v>4.5664733404597431E-2</v>
      </c>
      <c r="S29">
        <v>621.40188523141535</v>
      </c>
      <c r="T29" s="19">
        <v>2275.5515</v>
      </c>
    </row>
    <row r="30" spans="1:44">
      <c r="A30" s="8" t="s">
        <v>0</v>
      </c>
      <c r="B30" t="s">
        <v>52</v>
      </c>
      <c r="C30" t="s">
        <v>82</v>
      </c>
      <c r="D30" t="s">
        <v>83</v>
      </c>
      <c r="E30" s="15">
        <v>260.49770000000001</v>
      </c>
      <c r="F30" s="5">
        <v>778</v>
      </c>
      <c r="G30" s="5">
        <v>22</v>
      </c>
      <c r="H30" s="5">
        <v>9.5</v>
      </c>
      <c r="I30" s="5">
        <f t="shared" si="0"/>
        <v>778</v>
      </c>
      <c r="J30" s="5">
        <v>22.5</v>
      </c>
      <c r="K30" s="5">
        <v>10</v>
      </c>
      <c r="L30">
        <v>20.61838525639315</v>
      </c>
      <c r="M30">
        <v>21.48617515877763</v>
      </c>
      <c r="N30">
        <v>74.152715680072191</v>
      </c>
      <c r="O30">
        <v>260.51701661188338</v>
      </c>
      <c r="P30">
        <v>1.931661188341274E-2</v>
      </c>
      <c r="S30">
        <v>260.51461598415688</v>
      </c>
      <c r="T30" s="19">
        <v>2275.5515</v>
      </c>
    </row>
    <row r="31" spans="1:44">
      <c r="A31" s="8" t="s">
        <v>0</v>
      </c>
      <c r="B31" t="s">
        <v>40</v>
      </c>
      <c r="C31" t="s">
        <v>84</v>
      </c>
      <c r="D31" t="s">
        <v>85</v>
      </c>
      <c r="E31" s="15">
        <v>271.29079999999999</v>
      </c>
      <c r="F31" s="5">
        <v>778</v>
      </c>
      <c r="G31" s="5">
        <v>22</v>
      </c>
      <c r="H31" s="5">
        <v>9.5</v>
      </c>
      <c r="I31" s="5">
        <f t="shared" si="0"/>
        <v>778</v>
      </c>
      <c r="J31" s="5">
        <v>22.5</v>
      </c>
      <c r="K31" s="5">
        <v>10</v>
      </c>
      <c r="L31">
        <v>20.61838525639315</v>
      </c>
      <c r="M31">
        <v>21.48617515877763</v>
      </c>
      <c r="N31">
        <v>74.152715680072191</v>
      </c>
      <c r="O31">
        <v>271.31091694955899</v>
      </c>
      <c r="P31">
        <v>2.0116949559019329E-2</v>
      </c>
      <c r="S31">
        <v>271.30972537529442</v>
      </c>
      <c r="T31" s="19">
        <v>2275.5515</v>
      </c>
    </row>
    <row r="32" spans="1:44">
      <c r="A32" s="8" t="s">
        <v>0</v>
      </c>
      <c r="B32" t="s">
        <v>43</v>
      </c>
      <c r="C32" t="s">
        <v>86</v>
      </c>
      <c r="D32" t="s">
        <v>87</v>
      </c>
      <c r="E32" s="15">
        <v>319.08100000000002</v>
      </c>
      <c r="F32" s="5">
        <v>778</v>
      </c>
      <c r="G32" s="5">
        <v>22</v>
      </c>
      <c r="H32" s="5">
        <v>9.5</v>
      </c>
      <c r="I32" s="5">
        <f t="shared" si="0"/>
        <v>778</v>
      </c>
      <c r="J32" s="5">
        <v>22.5</v>
      </c>
      <c r="K32" s="5">
        <v>10</v>
      </c>
      <c r="L32">
        <v>20.61838525639315</v>
      </c>
      <c r="M32">
        <v>21.48617515877763</v>
      </c>
      <c r="N32">
        <v>74.152715680072191</v>
      </c>
      <c r="O32">
        <v>319.10466072267201</v>
      </c>
      <c r="P32">
        <v>2.3660722671913111E-2</v>
      </c>
      <c r="S32">
        <v>319.10363279502849</v>
      </c>
      <c r="T32" s="19">
        <v>2275.5515</v>
      </c>
    </row>
    <row r="33" spans="1:20">
      <c r="A33" s="8" t="s">
        <v>0</v>
      </c>
      <c r="B33" t="s">
        <v>46</v>
      </c>
      <c r="C33" t="s">
        <v>88</v>
      </c>
      <c r="D33" t="s">
        <v>89</v>
      </c>
      <c r="E33" s="15">
        <v>387.70699999999999</v>
      </c>
      <c r="F33" s="5">
        <v>778</v>
      </c>
      <c r="G33" s="5">
        <v>22</v>
      </c>
      <c r="H33" s="5">
        <v>9.5</v>
      </c>
      <c r="I33" s="5">
        <f t="shared" si="0"/>
        <v>778</v>
      </c>
      <c r="J33" s="5">
        <v>22.5</v>
      </c>
      <c r="K33" s="5">
        <v>10</v>
      </c>
      <c r="L33">
        <v>20.61838525639315</v>
      </c>
      <c r="M33">
        <v>21.48617515877763</v>
      </c>
      <c r="N33">
        <v>74.152715680072191</v>
      </c>
      <c r="O33">
        <v>387.73574952693821</v>
      </c>
      <c r="P33">
        <v>2.8749526938173751E-2</v>
      </c>
      <c r="S33">
        <v>387.73493712798211</v>
      </c>
      <c r="T33" s="19">
        <v>2275.5515</v>
      </c>
    </row>
    <row r="34" spans="1:20">
      <c r="A34" s="8" t="s">
        <v>0</v>
      </c>
      <c r="B34" t="s">
        <v>55</v>
      </c>
      <c r="C34" t="s">
        <v>76</v>
      </c>
      <c r="D34" t="s">
        <v>77</v>
      </c>
      <c r="E34" s="15">
        <v>467.5317</v>
      </c>
      <c r="F34" s="5">
        <v>778</v>
      </c>
      <c r="G34" s="5">
        <v>20.5</v>
      </c>
      <c r="H34" s="5">
        <v>9</v>
      </c>
      <c r="I34" s="5">
        <f t="shared" si="0"/>
        <v>778</v>
      </c>
      <c r="J34" s="5">
        <v>22</v>
      </c>
      <c r="K34" s="5">
        <v>12</v>
      </c>
      <c r="L34">
        <v>23.108435475745139</v>
      </c>
      <c r="M34">
        <v>33.612321421669257</v>
      </c>
      <c r="N34">
        <v>73.489778889822986</v>
      </c>
      <c r="O34">
        <v>467.56605880125699</v>
      </c>
      <c r="P34">
        <v>3.4358801256983047E-2</v>
      </c>
      <c r="S34">
        <v>467.56540002499031</v>
      </c>
      <c r="T34" s="19">
        <v>2275.5515</v>
      </c>
    </row>
    <row r="35" spans="1:20">
      <c r="A35" s="8" t="s">
        <v>0</v>
      </c>
      <c r="B35" t="s">
        <v>49</v>
      </c>
      <c r="C35" t="s">
        <v>78</v>
      </c>
      <c r="D35" t="s">
        <v>79</v>
      </c>
      <c r="E35" s="15">
        <v>586.89269999999999</v>
      </c>
      <c r="F35" s="5">
        <v>778</v>
      </c>
      <c r="G35" s="5">
        <v>20.5</v>
      </c>
      <c r="H35" s="5">
        <v>9</v>
      </c>
      <c r="I35" s="5">
        <f t="shared" si="0"/>
        <v>778</v>
      </c>
      <c r="J35" s="5">
        <v>22</v>
      </c>
      <c r="K35" s="5">
        <v>12</v>
      </c>
      <c r="L35">
        <v>23.108435475745139</v>
      </c>
      <c r="M35">
        <v>33.612321421669257</v>
      </c>
      <c r="N35">
        <v>73.489778889822986</v>
      </c>
      <c r="O35">
        <v>586.93583061475499</v>
      </c>
      <c r="P35">
        <v>4.3130614755051207E-2</v>
      </c>
      <c r="S35">
        <v>586.93533177887844</v>
      </c>
      <c r="T35" s="19">
        <v>2275.5515</v>
      </c>
    </row>
    <row r="36" spans="1:20">
      <c r="A36" s="9" t="s">
        <v>3</v>
      </c>
      <c r="B36" s="1" t="s">
        <v>6</v>
      </c>
      <c r="C36" t="s">
        <v>372</v>
      </c>
      <c r="D36" t="s">
        <v>124</v>
      </c>
      <c r="E36" s="15">
        <v>52.371200000000002</v>
      </c>
      <c r="F36" s="5">
        <v>781</v>
      </c>
      <c r="G36" s="5">
        <v>18.5</v>
      </c>
      <c r="H36" s="5">
        <v>9</v>
      </c>
      <c r="I36" s="5">
        <v>781</v>
      </c>
      <c r="J36" s="5">
        <v>18.5</v>
      </c>
      <c r="K36" s="5">
        <v>9</v>
      </c>
      <c r="L36">
        <v>30.909867089361121</v>
      </c>
      <c r="M36">
        <v>30.909867089361121</v>
      </c>
      <c r="N36">
        <v>70.630858007427605</v>
      </c>
      <c r="O36">
        <v>52.374899022790878</v>
      </c>
      <c r="P36">
        <v>3.6990227908785928E-3</v>
      </c>
      <c r="S36">
        <v>52.116704774939983</v>
      </c>
      <c r="T36" s="19">
        <v>2279.9962</v>
      </c>
    </row>
    <row r="37" spans="1:20">
      <c r="A37" s="9" t="s">
        <v>3</v>
      </c>
      <c r="B37" t="s">
        <v>22</v>
      </c>
      <c r="C37" t="s">
        <v>106</v>
      </c>
      <c r="D37" t="s">
        <v>107</v>
      </c>
      <c r="E37" s="15">
        <v>211.3552</v>
      </c>
      <c r="F37" s="5">
        <v>781</v>
      </c>
      <c r="G37" s="5">
        <v>19</v>
      </c>
      <c r="H37" s="5">
        <v>10</v>
      </c>
      <c r="I37" s="5">
        <f ca="1">Table2[[#This Row],[P.t(mb)]]-36</f>
        <v>781</v>
      </c>
      <c r="J37">
        <v>20.5</v>
      </c>
      <c r="K37" s="5">
        <v>10</v>
      </c>
      <c r="L37">
        <v>34.766132574641432</v>
      </c>
      <c r="M37">
        <v>28.465042324426989</v>
      </c>
      <c r="N37">
        <v>71.578194240725054</v>
      </c>
      <c r="O37">
        <v>211.37032842355941</v>
      </c>
      <c r="P37">
        <v>1.512842355938729E-2</v>
      </c>
      <c r="S37">
        <v>211.31876639960339</v>
      </c>
      <c r="T37" s="19">
        <v>2279.9962</v>
      </c>
    </row>
    <row r="38" spans="1:20">
      <c r="A38" s="9" t="s">
        <v>3</v>
      </c>
      <c r="B38" t="s">
        <v>0</v>
      </c>
      <c r="C38" t="s">
        <v>125</v>
      </c>
      <c r="D38" t="s">
        <v>126</v>
      </c>
      <c r="E38" s="15">
        <v>248.06479999999999</v>
      </c>
      <c r="F38" s="5">
        <v>781</v>
      </c>
      <c r="G38" s="5">
        <v>21</v>
      </c>
      <c r="H38" s="5">
        <v>10</v>
      </c>
      <c r="I38" s="5">
        <f ca="1">Table2[[#This Row],[P.t(mb)]]-36</f>
        <v>782</v>
      </c>
      <c r="J38">
        <v>23</v>
      </c>
      <c r="K38" s="5">
        <v>13</v>
      </c>
      <c r="L38">
        <v>26.563872100340809</v>
      </c>
      <c r="M38">
        <v>34.922763823621317</v>
      </c>
      <c r="N38">
        <v>73.111168145823314</v>
      </c>
      <c r="O38">
        <v>248.08293630730381</v>
      </c>
      <c r="P38">
        <v>1.8136307303860032E-2</v>
      </c>
      <c r="S38">
        <v>248.04297652355541</v>
      </c>
      <c r="T38" s="19">
        <v>2279.9962</v>
      </c>
    </row>
    <row r="39" spans="1:20">
      <c r="A39" s="9" t="s">
        <v>3</v>
      </c>
      <c r="B39" t="s">
        <v>15</v>
      </c>
      <c r="C39" t="s">
        <v>108</v>
      </c>
      <c r="D39" t="s">
        <v>109</v>
      </c>
      <c r="E39" s="15">
        <v>620.83879999999999</v>
      </c>
      <c r="F39" s="5">
        <v>781</v>
      </c>
      <c r="G39" s="5">
        <v>19</v>
      </c>
      <c r="H39" s="5">
        <v>10</v>
      </c>
      <c r="I39" s="5">
        <f ca="1">Table2[[#This Row],[P.t(mb)]]-36</f>
        <v>781</v>
      </c>
      <c r="J39">
        <v>20</v>
      </c>
      <c r="K39" s="5">
        <v>10</v>
      </c>
      <c r="L39">
        <v>34.766132574641432</v>
      </c>
      <c r="M39">
        <v>30.462634712456339</v>
      </c>
      <c r="N39">
        <v>71.399131355969018</v>
      </c>
      <c r="O39">
        <v>620.88312735103204</v>
      </c>
      <c r="P39">
        <v>4.4327351032082178E-2</v>
      </c>
      <c r="S39">
        <v>620.85178534989632</v>
      </c>
      <c r="T39" s="19">
        <v>2279.9962</v>
      </c>
    </row>
    <row r="40" spans="1:20">
      <c r="A40" s="9" t="s">
        <v>3</v>
      </c>
      <c r="B40" t="s">
        <v>23</v>
      </c>
      <c r="C40" t="s">
        <v>110</v>
      </c>
      <c r="D40" t="s">
        <v>111</v>
      </c>
      <c r="E40" s="15">
        <v>585.9914</v>
      </c>
      <c r="F40" s="5">
        <v>781</v>
      </c>
      <c r="G40" s="5">
        <v>19</v>
      </c>
      <c r="H40" s="5">
        <v>10</v>
      </c>
      <c r="I40" s="5">
        <f ca="1">Table2[[#This Row],[P.t(mb)]]-36</f>
        <v>781</v>
      </c>
      <c r="J40">
        <v>20</v>
      </c>
      <c r="K40" s="5">
        <v>10</v>
      </c>
      <c r="L40">
        <v>34.766132574641432</v>
      </c>
      <c r="M40">
        <v>30.462634712456339</v>
      </c>
      <c r="N40">
        <v>71.399131355969018</v>
      </c>
      <c r="O40">
        <v>586.03323927694203</v>
      </c>
      <c r="P40">
        <v>4.1839276942068182E-2</v>
      </c>
      <c r="S40">
        <v>586.03114934482403</v>
      </c>
      <c r="T40" s="19">
        <v>2279.9962</v>
      </c>
    </row>
    <row r="41" spans="1:20">
      <c r="A41" s="9" t="s">
        <v>3</v>
      </c>
      <c r="B41" t="s">
        <v>16</v>
      </c>
      <c r="C41" t="s">
        <v>127</v>
      </c>
      <c r="D41" t="s">
        <v>128</v>
      </c>
      <c r="E41" s="15">
        <v>587.24220000000003</v>
      </c>
      <c r="F41" s="5">
        <v>781</v>
      </c>
      <c r="G41" s="5">
        <v>21</v>
      </c>
      <c r="H41" s="5">
        <v>10</v>
      </c>
      <c r="I41" s="5">
        <f ca="1">Table2[[#This Row],[P.t(mb)]]-36</f>
        <v>782</v>
      </c>
      <c r="J41">
        <v>23</v>
      </c>
      <c r="K41" s="5">
        <v>12</v>
      </c>
      <c r="L41">
        <v>26.563872100340809</v>
      </c>
      <c r="M41">
        <v>29.69638482287122</v>
      </c>
      <c r="N41">
        <v>73.084799542774732</v>
      </c>
      <c r="O41">
        <v>587.28511847847005</v>
      </c>
      <c r="P41">
        <v>4.291847847005803E-2</v>
      </c>
      <c r="S41">
        <v>586.84582102550826</v>
      </c>
      <c r="T41" s="19">
        <v>2279.9962</v>
      </c>
    </row>
    <row r="42" spans="1:20">
      <c r="A42" s="9" t="s">
        <v>3</v>
      </c>
      <c r="B42" t="s">
        <v>29</v>
      </c>
      <c r="C42" t="s">
        <v>129</v>
      </c>
      <c r="D42" t="s">
        <v>130</v>
      </c>
      <c r="E42" s="15">
        <v>470.26690000000002</v>
      </c>
      <c r="F42" s="5">
        <v>781</v>
      </c>
      <c r="G42" s="5">
        <v>21</v>
      </c>
      <c r="H42" s="5">
        <v>10</v>
      </c>
      <c r="I42" s="5">
        <f ca="1">Table2[[#This Row],[P.t(mb)]]-36</f>
        <v>783</v>
      </c>
      <c r="J42">
        <v>23</v>
      </c>
      <c r="K42" s="5">
        <v>12</v>
      </c>
      <c r="L42">
        <v>26.563872100340809</v>
      </c>
      <c r="M42">
        <v>29.670479482822341</v>
      </c>
      <c r="N42">
        <v>72.94804756971368</v>
      </c>
      <c r="O42">
        <v>470.30120505219168</v>
      </c>
      <c r="P42">
        <v>3.4305052191661793E-2</v>
      </c>
      <c r="S42">
        <v>469.41143963069328</v>
      </c>
      <c r="T42" s="19">
        <v>2279.9962</v>
      </c>
    </row>
    <row r="43" spans="1:20">
      <c r="A43" s="9" t="s">
        <v>3</v>
      </c>
      <c r="B43" t="s">
        <v>112</v>
      </c>
      <c r="C43" t="s">
        <v>113</v>
      </c>
      <c r="D43" t="s">
        <v>114</v>
      </c>
      <c r="E43" s="15">
        <v>67.335599999999999</v>
      </c>
      <c r="F43" s="5">
        <v>781</v>
      </c>
      <c r="G43" s="5">
        <v>19</v>
      </c>
      <c r="H43" s="5">
        <v>10</v>
      </c>
      <c r="I43" s="5">
        <f ca="1">Table2[[#This Row],[P.t(mb)]]-36</f>
        <v>781</v>
      </c>
      <c r="J43">
        <v>20.5</v>
      </c>
      <c r="K43" s="5">
        <v>10</v>
      </c>
      <c r="L43">
        <v>34.766132574641432</v>
      </c>
      <c r="M43">
        <v>28.465042324426989</v>
      </c>
      <c r="N43">
        <v>71.578194240725054</v>
      </c>
      <c r="O43">
        <v>67.340419760656118</v>
      </c>
      <c r="P43">
        <v>4.8197606561157661E-3</v>
      </c>
      <c r="S43">
        <v>67.104978669302994</v>
      </c>
      <c r="T43" s="19">
        <v>2279.9962</v>
      </c>
    </row>
    <row r="44" spans="1:20">
      <c r="A44" s="9" t="s">
        <v>3</v>
      </c>
      <c r="B44" t="s">
        <v>115</v>
      </c>
      <c r="C44" t="s">
        <v>116</v>
      </c>
      <c r="D44" t="s">
        <v>117</v>
      </c>
      <c r="E44" s="15">
        <v>108.4246</v>
      </c>
      <c r="F44" s="5">
        <v>781</v>
      </c>
      <c r="G44" s="5">
        <v>19</v>
      </c>
      <c r="H44" s="5">
        <v>10</v>
      </c>
      <c r="I44" s="5">
        <f ca="1">Table2[[#This Row],[P.t(mb)]]-36</f>
        <v>781</v>
      </c>
      <c r="J44">
        <v>20.5</v>
      </c>
      <c r="K44" s="5">
        <v>10</v>
      </c>
      <c r="L44">
        <v>34.766132574641432</v>
      </c>
      <c r="M44">
        <v>28.465042324426989</v>
      </c>
      <c r="N44">
        <v>71.578194240725054</v>
      </c>
      <c r="O44">
        <v>108.4323608370793</v>
      </c>
      <c r="P44">
        <v>7.7608370792729177E-3</v>
      </c>
      <c r="S44">
        <v>108.3037983693489</v>
      </c>
      <c r="T44" s="19">
        <v>2279.9962</v>
      </c>
    </row>
    <row r="45" spans="1:20">
      <c r="A45" s="9" t="s">
        <v>3</v>
      </c>
      <c r="B45" t="s">
        <v>118</v>
      </c>
      <c r="C45" t="s">
        <v>119</v>
      </c>
      <c r="D45" t="s">
        <v>120</v>
      </c>
      <c r="E45" s="15">
        <v>304.71050000000002</v>
      </c>
      <c r="F45" s="5">
        <v>781</v>
      </c>
      <c r="G45" s="5">
        <v>19</v>
      </c>
      <c r="H45" s="5">
        <v>10</v>
      </c>
      <c r="I45" s="5">
        <f ca="1">Table2[[#This Row],[P.t(mb)]]-36</f>
        <v>781</v>
      </c>
      <c r="J45">
        <v>20.5</v>
      </c>
      <c r="K45" s="5">
        <v>10</v>
      </c>
      <c r="L45">
        <v>34.766132574641432</v>
      </c>
      <c r="M45">
        <v>28.465042324426989</v>
      </c>
      <c r="N45">
        <v>71.578194240725054</v>
      </c>
      <c r="O45">
        <v>304.73231062735618</v>
      </c>
      <c r="P45">
        <v>2.1810627356188449E-2</v>
      </c>
      <c r="S45">
        <v>304.68658485466659</v>
      </c>
      <c r="T45" s="19">
        <v>2279.9962</v>
      </c>
    </row>
    <row r="46" spans="1:20" ht="15" customHeight="1">
      <c r="A46" s="9" t="s">
        <v>3</v>
      </c>
      <c r="B46" t="s">
        <v>121</v>
      </c>
      <c r="C46" t="s">
        <v>122</v>
      </c>
      <c r="D46" t="s">
        <v>123</v>
      </c>
      <c r="E46" s="15">
        <v>405.13490000000002</v>
      </c>
      <c r="F46" s="5">
        <v>781</v>
      </c>
      <c r="G46" s="5">
        <v>19</v>
      </c>
      <c r="H46" s="5">
        <v>10</v>
      </c>
      <c r="I46" s="5">
        <f ca="1">Table2[[#This Row],[P.t(mb)]]-36</f>
        <v>781</v>
      </c>
      <c r="J46">
        <v>20.5</v>
      </c>
      <c r="K46" s="5">
        <v>10</v>
      </c>
      <c r="L46">
        <v>34.766132574641432</v>
      </c>
      <c r="M46">
        <v>28.465042324426989</v>
      </c>
      <c r="N46">
        <v>71.578194240725054</v>
      </c>
      <c r="O46">
        <v>405.16389882456588</v>
      </c>
      <c r="P46">
        <v>2.8998824565896721E-2</v>
      </c>
      <c r="S46">
        <v>405.13008264190057</v>
      </c>
      <c r="T46" s="19">
        <v>2279.9962</v>
      </c>
    </row>
    <row r="47" spans="1:20">
      <c r="A47" s="9" t="s">
        <v>3</v>
      </c>
      <c r="B47" t="s">
        <v>91</v>
      </c>
      <c r="C47" t="s">
        <v>92</v>
      </c>
      <c r="D47" t="s">
        <v>93</v>
      </c>
      <c r="E47" s="15">
        <v>541.90009999999995</v>
      </c>
      <c r="F47" s="5">
        <v>781</v>
      </c>
      <c r="G47" s="5">
        <v>18.5</v>
      </c>
      <c r="H47" s="5">
        <v>9</v>
      </c>
      <c r="I47" s="5">
        <f ca="1">Table2[[#This Row],[P.t(mb)]]-36</f>
        <v>781</v>
      </c>
      <c r="J47">
        <v>20</v>
      </c>
      <c r="K47" s="5">
        <v>10</v>
      </c>
      <c r="L47">
        <v>30.909867089361121</v>
      </c>
      <c r="M47">
        <v>30.462634712456339</v>
      </c>
      <c r="N47">
        <v>71.194384984094341</v>
      </c>
      <c r="O47">
        <v>541.93868024434232</v>
      </c>
      <c r="P47">
        <v>3.8580244342319207E-2</v>
      </c>
      <c r="S47">
        <v>541.91358150378551</v>
      </c>
      <c r="T47" s="19">
        <v>2279.9962</v>
      </c>
    </row>
    <row r="48" spans="1:20">
      <c r="A48" s="9" t="s">
        <v>3</v>
      </c>
      <c r="B48" t="s">
        <v>52</v>
      </c>
      <c r="C48" t="s">
        <v>94</v>
      </c>
      <c r="D48" t="s">
        <v>95</v>
      </c>
      <c r="E48" s="15">
        <v>65.241699999999994</v>
      </c>
      <c r="F48" s="5">
        <v>781</v>
      </c>
      <c r="G48" s="5">
        <v>18.5</v>
      </c>
      <c r="H48" s="5">
        <v>9</v>
      </c>
      <c r="I48" s="5">
        <f ca="1">Table2[[#This Row],[P.t(mb)]]-36</f>
        <v>781</v>
      </c>
      <c r="J48">
        <v>20</v>
      </c>
      <c r="K48" s="5">
        <v>10</v>
      </c>
      <c r="L48">
        <v>30.909867089361121</v>
      </c>
      <c r="M48">
        <v>30.462634712456339</v>
      </c>
      <c r="N48">
        <v>71.194384984094341</v>
      </c>
      <c r="O48">
        <v>65.246344842706804</v>
      </c>
      <c r="P48">
        <v>4.6448427068167871E-3</v>
      </c>
      <c r="S48">
        <v>65.008168448714031</v>
      </c>
      <c r="T48" s="19">
        <v>2279.9962</v>
      </c>
    </row>
    <row r="49" spans="1:24">
      <c r="A49" s="9" t="s">
        <v>3</v>
      </c>
      <c r="B49" t="s">
        <v>40</v>
      </c>
      <c r="C49" t="s">
        <v>96</v>
      </c>
      <c r="D49" t="s">
        <v>97</v>
      </c>
      <c r="E49" s="15">
        <v>104.9516</v>
      </c>
      <c r="F49" s="5">
        <v>781</v>
      </c>
      <c r="G49" s="5">
        <v>18.5</v>
      </c>
      <c r="H49" s="5">
        <v>9</v>
      </c>
      <c r="I49" s="5">
        <f ca="1">Table2[[#This Row],[P.t(mb)]]-36</f>
        <v>781</v>
      </c>
      <c r="J49">
        <v>20</v>
      </c>
      <c r="K49" s="5">
        <v>10</v>
      </c>
      <c r="L49">
        <v>30.909867089361121</v>
      </c>
      <c r="M49">
        <v>30.462634712456339</v>
      </c>
      <c r="N49">
        <v>71.194384984094341</v>
      </c>
      <c r="O49">
        <v>104.95907196461511</v>
      </c>
      <c r="P49">
        <v>7.4719646150966752E-3</v>
      </c>
      <c r="S49">
        <v>104.827366741039</v>
      </c>
      <c r="T49" s="19">
        <v>2279.9962</v>
      </c>
    </row>
    <row r="50" spans="1:24">
      <c r="A50" s="9" t="s">
        <v>3</v>
      </c>
      <c r="B50" t="s">
        <v>43</v>
      </c>
      <c r="C50" t="s">
        <v>98</v>
      </c>
      <c r="D50" t="s">
        <v>99</v>
      </c>
      <c r="E50" s="15">
        <v>204.48689999999999</v>
      </c>
      <c r="F50" s="5">
        <v>781</v>
      </c>
      <c r="G50" s="5">
        <v>18.5</v>
      </c>
      <c r="H50" s="5">
        <v>9</v>
      </c>
      <c r="I50" s="5">
        <f ca="1">Table2[[#This Row],[P.t(mb)]]-36</f>
        <v>781</v>
      </c>
      <c r="J50">
        <v>20</v>
      </c>
      <c r="K50" s="5">
        <v>10</v>
      </c>
      <c r="L50">
        <v>30.909867089361121</v>
      </c>
      <c r="M50">
        <v>30.462634712456339</v>
      </c>
      <c r="N50">
        <v>71.194384984094341</v>
      </c>
      <c r="O50">
        <v>204.50145831908279</v>
      </c>
      <c r="P50">
        <v>1.4558319082804E-2</v>
      </c>
      <c r="S50">
        <v>204.4337431048742</v>
      </c>
      <c r="T50" s="19">
        <v>2279.9962</v>
      </c>
    </row>
    <row r="51" spans="1:24">
      <c r="A51" s="10" t="s">
        <v>3</v>
      </c>
      <c r="B51" s="5" t="s">
        <v>49</v>
      </c>
      <c r="C51" s="5" t="s">
        <v>104</v>
      </c>
      <c r="D51" t="s">
        <v>105</v>
      </c>
      <c r="E51" s="15">
        <v>541.54729999999995</v>
      </c>
      <c r="F51" s="5">
        <v>781</v>
      </c>
      <c r="G51" s="5">
        <v>18.5</v>
      </c>
      <c r="H51" s="5">
        <v>9</v>
      </c>
      <c r="I51" s="5">
        <f ca="1">Table2[[#This Row],[P.t(mb)]]-36</f>
        <v>781</v>
      </c>
      <c r="J51" s="5">
        <v>20</v>
      </c>
      <c r="K51" s="5">
        <v>10</v>
      </c>
      <c r="L51">
        <v>30.909867089361121</v>
      </c>
      <c r="M51">
        <v>30.462634712456339</v>
      </c>
      <c r="N51">
        <v>71.194384984094341</v>
      </c>
      <c r="O51">
        <v>541.58585512696322</v>
      </c>
      <c r="P51">
        <v>3.8555126963296833E-2</v>
      </c>
      <c r="Q51" s="5"/>
      <c r="R51" s="5"/>
      <c r="S51">
        <v>541.56080037199058</v>
      </c>
      <c r="T51" s="19">
        <v>2279.9962</v>
      </c>
    </row>
    <row r="52" spans="1:24">
      <c r="A52" s="9" t="s">
        <v>3</v>
      </c>
      <c r="B52" t="s">
        <v>55</v>
      </c>
      <c r="C52" t="s">
        <v>102</v>
      </c>
      <c r="D52" t="s">
        <v>103</v>
      </c>
      <c r="E52" s="15">
        <v>404.68360000000001</v>
      </c>
      <c r="F52" s="5">
        <v>781</v>
      </c>
      <c r="G52" s="5">
        <v>18.5</v>
      </c>
      <c r="H52" s="5">
        <v>9</v>
      </c>
      <c r="I52" s="5">
        <f ca="1">Table2[[#This Row],[P.t(mb)]]-36</f>
        <v>781</v>
      </c>
      <c r="J52" s="5">
        <v>20</v>
      </c>
      <c r="K52" s="5">
        <v>10</v>
      </c>
      <c r="L52">
        <v>30.909867089361121</v>
      </c>
      <c r="M52">
        <v>30.462634712456339</v>
      </c>
      <c r="N52">
        <v>71.194384984094341</v>
      </c>
      <c r="O52">
        <v>404.71241120001508</v>
      </c>
      <c r="P52">
        <v>2.8811200015149242E-2</v>
      </c>
      <c r="S52">
        <v>404.67858686985409</v>
      </c>
      <c r="T52" s="19">
        <v>2279.9962</v>
      </c>
    </row>
    <row r="53" spans="1:24" s="4" customFormat="1">
      <c r="A53" s="9" t="s">
        <v>3</v>
      </c>
      <c r="B53" t="s">
        <v>46</v>
      </c>
      <c r="C53" t="s">
        <v>100</v>
      </c>
      <c r="D53" t="s">
        <v>101</v>
      </c>
      <c r="E53" s="15">
        <v>304.73430000000002</v>
      </c>
      <c r="F53" s="5">
        <v>781</v>
      </c>
      <c r="G53" s="5">
        <v>18.5</v>
      </c>
      <c r="H53" s="5">
        <v>9</v>
      </c>
      <c r="I53" s="5">
        <f ca="1">Table2[[#This Row],[P.t(mb)]]-36</f>
        <v>781</v>
      </c>
      <c r="J53" s="5">
        <v>20</v>
      </c>
      <c r="K53" s="5">
        <v>10</v>
      </c>
      <c r="L53">
        <v>30.909867089361121</v>
      </c>
      <c r="M53">
        <v>30.462634712456339</v>
      </c>
      <c r="N53">
        <v>71.194384984094341</v>
      </c>
      <c r="O53">
        <v>304.75599537107212</v>
      </c>
      <c r="P53">
        <v>2.16953710720585E-2</v>
      </c>
      <c r="Q53"/>
      <c r="R53"/>
      <c r="S53">
        <v>304.71085029090068</v>
      </c>
      <c r="T53" s="19">
        <v>2279.9962</v>
      </c>
      <c r="U53"/>
      <c r="V53"/>
      <c r="W53"/>
      <c r="X53"/>
    </row>
    <row r="54" spans="1:24">
      <c r="A54" s="11" t="s">
        <v>6</v>
      </c>
      <c r="B54" s="1" t="s">
        <v>3</v>
      </c>
      <c r="C54" t="s">
        <v>372</v>
      </c>
      <c r="D54" t="s">
        <v>160</v>
      </c>
      <c r="E54" s="15">
        <v>52.371099999999998</v>
      </c>
      <c r="F54" s="5">
        <v>781</v>
      </c>
      <c r="G54" s="5">
        <v>23.5</v>
      </c>
      <c r="H54" s="5">
        <v>11</v>
      </c>
      <c r="I54" s="5">
        <v>781</v>
      </c>
      <c r="J54" s="5">
        <v>22.5</v>
      </c>
      <c r="K54" s="5">
        <v>11</v>
      </c>
      <c r="L54">
        <v>23.062467572415159</v>
      </c>
      <c r="M54">
        <v>26.396401745723391</v>
      </c>
      <c r="N54">
        <v>73.922419422065502</v>
      </c>
      <c r="O54">
        <v>52.374971398419802</v>
      </c>
      <c r="P54">
        <v>3.8713984197949352E-3</v>
      </c>
      <c r="S54">
        <v>52.117071544642762</v>
      </c>
      <c r="T54" s="19">
        <v>2274.8063999999999</v>
      </c>
    </row>
    <row r="55" spans="1:24">
      <c r="A55" s="11" t="s">
        <v>6</v>
      </c>
      <c r="B55" t="s">
        <v>22</v>
      </c>
      <c r="C55" t="s">
        <v>131</v>
      </c>
      <c r="D55" t="s">
        <v>132</v>
      </c>
      <c r="E55" s="15">
        <v>192.50290000000001</v>
      </c>
      <c r="F55" s="5">
        <v>781</v>
      </c>
      <c r="G55" s="5">
        <v>23.5</v>
      </c>
      <c r="H55" s="5">
        <v>11</v>
      </c>
      <c r="I55" s="5">
        <v>781</v>
      </c>
      <c r="J55" s="5">
        <v>25</v>
      </c>
      <c r="K55" s="5">
        <v>12</v>
      </c>
      <c r="L55">
        <v>23.062467572415159</v>
      </c>
      <c r="M55">
        <v>23.09700316932657</v>
      </c>
      <c r="N55">
        <v>74.816867479035835</v>
      </c>
      <c r="O55">
        <v>192.5173024639586</v>
      </c>
      <c r="P55">
        <v>1.4402463958630089E-2</v>
      </c>
      <c r="S55">
        <v>192.51658198095501</v>
      </c>
      <c r="T55" s="19">
        <v>2274.8063999999999</v>
      </c>
    </row>
    <row r="56" spans="1:24">
      <c r="A56" s="11" t="s">
        <v>6</v>
      </c>
      <c r="B56" t="s">
        <v>0</v>
      </c>
      <c r="C56" t="s">
        <v>133</v>
      </c>
      <c r="D56" t="s">
        <v>134</v>
      </c>
      <c r="E56" s="15">
        <v>295.89569999999998</v>
      </c>
      <c r="F56" s="5">
        <v>781</v>
      </c>
      <c r="G56" s="5">
        <v>23.5</v>
      </c>
      <c r="H56" s="5">
        <v>11</v>
      </c>
      <c r="I56" s="5">
        <v>782</v>
      </c>
      <c r="J56" s="5">
        <v>25</v>
      </c>
      <c r="K56" s="5">
        <v>12</v>
      </c>
      <c r="L56">
        <v>23.062467572415159</v>
      </c>
      <c r="M56">
        <v>23.06985175963128</v>
      </c>
      <c r="N56">
        <v>74.681124074407251</v>
      </c>
      <c r="O56">
        <v>295.91779782348482</v>
      </c>
      <c r="P56">
        <v>2.209782348478358E-2</v>
      </c>
      <c r="S56">
        <v>295.91687982080123</v>
      </c>
      <c r="T56" s="19">
        <v>2274.8063999999999</v>
      </c>
    </row>
    <row r="57" spans="1:24">
      <c r="A57" s="11" t="s">
        <v>6</v>
      </c>
      <c r="B57" t="s">
        <v>9</v>
      </c>
      <c r="C57" t="s">
        <v>145</v>
      </c>
      <c r="D57" t="s">
        <v>146</v>
      </c>
      <c r="E57" s="15">
        <v>138.83529999999999</v>
      </c>
      <c r="F57" s="5">
        <v>781</v>
      </c>
      <c r="G57" s="5">
        <v>25</v>
      </c>
      <c r="H57" s="5">
        <v>11</v>
      </c>
      <c r="I57" s="5">
        <v>782</v>
      </c>
      <c r="J57" s="5">
        <v>25.5</v>
      </c>
      <c r="K57" s="5">
        <v>12</v>
      </c>
      <c r="L57">
        <v>18.633134723861879</v>
      </c>
      <c r="M57">
        <v>21.601172036693661</v>
      </c>
      <c r="N57">
        <v>75.370862168829376</v>
      </c>
      <c r="O57">
        <v>138.8457641362605</v>
      </c>
      <c r="P57">
        <v>1.046413626046808E-2</v>
      </c>
      <c r="S57">
        <v>137.44262113923469</v>
      </c>
      <c r="T57" s="19">
        <v>2274.8063999999999</v>
      </c>
    </row>
    <row r="58" spans="1:24">
      <c r="A58" s="11" t="s">
        <v>6</v>
      </c>
      <c r="B58" t="s">
        <v>12</v>
      </c>
      <c r="C58" t="s">
        <v>135</v>
      </c>
      <c r="D58" t="s">
        <v>136</v>
      </c>
      <c r="E58" s="15">
        <v>383.89460000000003</v>
      </c>
      <c r="F58" s="5">
        <v>781</v>
      </c>
      <c r="G58" s="5">
        <v>23.5</v>
      </c>
      <c r="H58" s="5">
        <v>11</v>
      </c>
      <c r="I58" s="5">
        <f ca="1">Table2[[#This Row],[P.t(mb)]]-36</f>
        <v>783</v>
      </c>
      <c r="J58" s="5">
        <v>25</v>
      </c>
      <c r="K58" s="5">
        <v>13</v>
      </c>
      <c r="L58">
        <v>23.062467572415159</v>
      </c>
      <c r="M58">
        <v>27.6798271286941</v>
      </c>
      <c r="N58">
        <v>74.57198070255663</v>
      </c>
      <c r="O58">
        <v>383.92322778070297</v>
      </c>
      <c r="P58">
        <v>2.86277807030157E-2</v>
      </c>
      <c r="S58">
        <v>383.5528895490325</v>
      </c>
      <c r="T58" s="19">
        <v>2274.8063999999999</v>
      </c>
    </row>
    <row r="59" spans="1:24">
      <c r="A59" s="11" t="s">
        <v>6</v>
      </c>
      <c r="B59" t="s">
        <v>15</v>
      </c>
      <c r="C59" t="s">
        <v>137</v>
      </c>
      <c r="D59" t="s">
        <v>138</v>
      </c>
      <c r="E59" s="15">
        <v>615.23090000000002</v>
      </c>
      <c r="F59" s="5">
        <v>781</v>
      </c>
      <c r="G59" s="5">
        <v>23.5</v>
      </c>
      <c r="H59" s="5">
        <v>11</v>
      </c>
      <c r="I59" s="5">
        <f ca="1">Table2[[#This Row],[P.t(mb)]]-36</f>
        <v>781</v>
      </c>
      <c r="J59" s="5">
        <v>25</v>
      </c>
      <c r="K59" s="5">
        <v>13</v>
      </c>
      <c r="L59">
        <v>23.062467572415159</v>
      </c>
      <c r="M59">
        <v>27.729952808131561</v>
      </c>
      <c r="N59">
        <v>74.843443550411621</v>
      </c>
      <c r="O59">
        <v>615.27694599913468</v>
      </c>
      <c r="P59">
        <v>4.6045999134618938E-2</v>
      </c>
      <c r="S59">
        <v>615.17079501498574</v>
      </c>
      <c r="T59" s="19">
        <v>2274.8063999999999</v>
      </c>
    </row>
    <row r="60" spans="1:24">
      <c r="A60" s="11" t="s">
        <v>6</v>
      </c>
      <c r="B60" t="s">
        <v>23</v>
      </c>
      <c r="C60" t="s">
        <v>139</v>
      </c>
      <c r="D60" t="s">
        <v>140</v>
      </c>
      <c r="E60" s="15">
        <v>572.85900000000004</v>
      </c>
      <c r="F60" s="5">
        <v>781</v>
      </c>
      <c r="G60" s="5">
        <v>23.5</v>
      </c>
      <c r="H60" s="5">
        <v>11</v>
      </c>
      <c r="I60" s="5">
        <f ca="1">Table2[[#This Row],[P.t(mb)]]-36</f>
        <v>781</v>
      </c>
      <c r="J60" s="5">
        <v>25</v>
      </c>
      <c r="K60" s="5">
        <v>13</v>
      </c>
      <c r="L60">
        <v>23.062467572415159</v>
      </c>
      <c r="M60">
        <v>27.729952808131561</v>
      </c>
      <c r="N60">
        <v>74.843443550411621</v>
      </c>
      <c r="O60">
        <v>572.90187474022889</v>
      </c>
      <c r="P60">
        <v>4.2874740228845257E-2</v>
      </c>
      <c r="S60">
        <v>572.86207074177526</v>
      </c>
      <c r="T60" s="19">
        <v>2274.8063999999999</v>
      </c>
    </row>
    <row r="61" spans="1:24">
      <c r="A61" s="11" t="s">
        <v>6</v>
      </c>
      <c r="B61" t="s">
        <v>16</v>
      </c>
      <c r="C61" t="s">
        <v>141</v>
      </c>
      <c r="D61" t="s">
        <v>142</v>
      </c>
      <c r="E61" s="15">
        <v>545.91729999999995</v>
      </c>
      <c r="F61" s="5">
        <v>781</v>
      </c>
      <c r="G61" s="5">
        <v>23.5</v>
      </c>
      <c r="H61" s="5">
        <v>11</v>
      </c>
      <c r="I61" s="5">
        <f ca="1">Table2[[#This Row],[P.t(mb)]]-36</f>
        <v>782</v>
      </c>
      <c r="J61" s="5">
        <v>25</v>
      </c>
      <c r="K61" s="5">
        <v>12</v>
      </c>
      <c r="L61">
        <v>23.062467572415159</v>
      </c>
      <c r="M61">
        <v>23.06985175963128</v>
      </c>
      <c r="N61">
        <v>74.681124074407251</v>
      </c>
      <c r="O61">
        <v>545.95806971761567</v>
      </c>
      <c r="P61">
        <v>4.0769717615665398E-2</v>
      </c>
      <c r="S61">
        <v>545.67696796762323</v>
      </c>
      <c r="T61" s="19">
        <v>2274.8063999999999</v>
      </c>
    </row>
    <row r="62" spans="1:24">
      <c r="A62" s="11" t="s">
        <v>6</v>
      </c>
      <c r="B62" t="s">
        <v>29</v>
      </c>
      <c r="C62" t="s">
        <v>143</v>
      </c>
      <c r="D62" t="s">
        <v>144</v>
      </c>
      <c r="E62" s="15">
        <v>431.80079999999998</v>
      </c>
      <c r="F62" s="5">
        <v>781</v>
      </c>
      <c r="G62" s="5">
        <v>23.5</v>
      </c>
      <c r="H62" s="5">
        <v>11</v>
      </c>
      <c r="I62" s="5">
        <f ca="1">Table2[[#This Row],[P.t(mb)]]-36</f>
        <v>783</v>
      </c>
      <c r="J62" s="5">
        <v>25</v>
      </c>
      <c r="K62" s="5">
        <v>12</v>
      </c>
      <c r="L62">
        <v>23.062467572415159</v>
      </c>
      <c r="M62">
        <v>23.042700349935998</v>
      </c>
      <c r="N62">
        <v>74.545380669778694</v>
      </c>
      <c r="O62">
        <v>431.83298875500952</v>
      </c>
      <c r="P62">
        <v>3.2188755009514979E-2</v>
      </c>
      <c r="S62">
        <v>431.18093085368071</v>
      </c>
      <c r="T62" s="19">
        <v>2274.8063999999999</v>
      </c>
    </row>
    <row r="63" spans="1:24">
      <c r="A63" s="11" t="s">
        <v>6</v>
      </c>
      <c r="B63" t="s">
        <v>112</v>
      </c>
      <c r="C63" t="s">
        <v>147</v>
      </c>
      <c r="D63" t="s">
        <v>148</v>
      </c>
      <c r="E63" s="15">
        <v>52.573700000000002</v>
      </c>
      <c r="F63" s="5">
        <v>781</v>
      </c>
      <c r="G63" s="5">
        <v>25</v>
      </c>
      <c r="H63" s="5">
        <v>11</v>
      </c>
      <c r="I63" s="5">
        <f ca="1">Table2[[#This Row],[P.t(mb)]]-36</f>
        <v>781</v>
      </c>
      <c r="J63" s="5">
        <v>25</v>
      </c>
      <c r="K63" s="5">
        <v>11</v>
      </c>
      <c r="L63">
        <v>18.633134723861879</v>
      </c>
      <c r="M63">
        <v>18.633134723861879</v>
      </c>
      <c r="N63">
        <v>75.307840810479149</v>
      </c>
      <c r="O63">
        <v>52.577659211830422</v>
      </c>
      <c r="P63">
        <v>3.9592118304178879E-3</v>
      </c>
      <c r="S63">
        <v>52.575877572064279</v>
      </c>
      <c r="T63" s="19">
        <v>2274.8063999999999</v>
      </c>
    </row>
    <row r="64" spans="1:24">
      <c r="A64" s="11" t="s">
        <v>6</v>
      </c>
      <c r="B64" t="s">
        <v>115</v>
      </c>
      <c r="C64" t="s">
        <v>149</v>
      </c>
      <c r="D64" t="s">
        <v>150</v>
      </c>
      <c r="E64" s="15">
        <v>91.092200000000005</v>
      </c>
      <c r="F64" s="5">
        <v>781</v>
      </c>
      <c r="G64" s="5">
        <v>25</v>
      </c>
      <c r="H64" s="5">
        <v>11</v>
      </c>
      <c r="I64" s="5">
        <f ca="1">Table2[[#This Row],[P.t(mb)]]-36</f>
        <v>781</v>
      </c>
      <c r="J64" s="5">
        <v>25</v>
      </c>
      <c r="K64" s="5">
        <v>11</v>
      </c>
      <c r="L64">
        <v>18.633134723861879</v>
      </c>
      <c r="M64">
        <v>18.633134723861879</v>
      </c>
      <c r="N64">
        <v>75.307840810479149</v>
      </c>
      <c r="O64">
        <v>91.099059956896681</v>
      </c>
      <c r="P64">
        <v>6.8599568966763291E-3</v>
      </c>
      <c r="S64">
        <v>91.099019775842933</v>
      </c>
      <c r="T64" s="19">
        <v>2274.8063999999999</v>
      </c>
    </row>
    <row r="65" spans="1:20">
      <c r="A65" s="11" t="s">
        <v>6</v>
      </c>
      <c r="B65" t="s">
        <v>58</v>
      </c>
      <c r="C65" t="s">
        <v>151</v>
      </c>
      <c r="D65" t="s">
        <v>152</v>
      </c>
      <c r="E65" s="15">
        <v>98.852500000000006</v>
      </c>
      <c r="F65" s="5">
        <v>781</v>
      </c>
      <c r="G65" s="5">
        <v>25</v>
      </c>
      <c r="H65" s="5">
        <v>11</v>
      </c>
      <c r="I65" s="5">
        <f ca="1">Table2[[#This Row],[P.t(mb)]]-36</f>
        <v>785</v>
      </c>
      <c r="J65" s="5">
        <v>27</v>
      </c>
      <c r="K65" s="5">
        <v>13</v>
      </c>
      <c r="L65">
        <v>18.633134723861879</v>
      </c>
      <c r="M65">
        <v>21.633915522420342</v>
      </c>
      <c r="N65">
        <v>75.506680332429681</v>
      </c>
      <c r="O65">
        <v>98.859964024117573</v>
      </c>
      <c r="P65">
        <v>7.4640241175615053E-3</v>
      </c>
      <c r="S65">
        <v>91.76565192455017</v>
      </c>
      <c r="T65" s="19">
        <v>2274.8063999999999</v>
      </c>
    </row>
    <row r="66" spans="1:20">
      <c r="A66" s="11" t="s">
        <v>6</v>
      </c>
      <c r="B66" t="s">
        <v>153</v>
      </c>
      <c r="C66" t="s">
        <v>154</v>
      </c>
      <c r="D66" t="s">
        <v>155</v>
      </c>
      <c r="E66" s="15">
        <v>193.61279999999999</v>
      </c>
      <c r="F66" s="5">
        <v>781</v>
      </c>
      <c r="G66" s="5">
        <v>25</v>
      </c>
      <c r="H66" s="5">
        <v>11</v>
      </c>
      <c r="I66" s="5">
        <f ca="1">Table2[[#This Row],[P.t(mb)]]-36</f>
        <v>784</v>
      </c>
      <c r="J66" s="5">
        <v>27</v>
      </c>
      <c r="K66" s="5">
        <v>13</v>
      </c>
      <c r="L66">
        <v>18.633134723861879</v>
      </c>
      <c r="M66">
        <v>21.659893282307021</v>
      </c>
      <c r="N66">
        <v>75.641639216933982</v>
      </c>
      <c r="O66">
        <v>193.62744518956541</v>
      </c>
      <c r="P66">
        <v>1.46451895653804E-2</v>
      </c>
      <c r="S66">
        <v>191.54758950397169</v>
      </c>
      <c r="T66" s="19">
        <v>2274.8063999999999</v>
      </c>
    </row>
    <row r="67" spans="1:20">
      <c r="A67" s="11" t="s">
        <v>6</v>
      </c>
      <c r="B67" t="s">
        <v>61</v>
      </c>
      <c r="C67" t="s">
        <v>156</v>
      </c>
      <c r="D67" t="s">
        <v>157</v>
      </c>
      <c r="E67" s="15">
        <v>285.5659</v>
      </c>
      <c r="F67" s="5">
        <v>781</v>
      </c>
      <c r="G67" s="5">
        <v>25</v>
      </c>
      <c r="H67" s="5">
        <v>11</v>
      </c>
      <c r="I67" s="5">
        <f ca="1">Table2[[#This Row],[P.t(mb)]]-36</f>
        <v>783</v>
      </c>
      <c r="J67" s="5">
        <v>27</v>
      </c>
      <c r="K67" s="5">
        <v>13</v>
      </c>
      <c r="L67">
        <v>18.633134723861879</v>
      </c>
      <c r="M67">
        <v>21.68587104219371</v>
      </c>
      <c r="N67">
        <v>75.776598101438339</v>
      </c>
      <c r="O67">
        <v>285.58753921243579</v>
      </c>
      <c r="P67">
        <v>2.1639212435775532E-2</v>
      </c>
      <c r="S67">
        <v>284.83785075222778</v>
      </c>
      <c r="T67" s="19">
        <v>2274.8063999999999</v>
      </c>
    </row>
    <row r="68" spans="1:20">
      <c r="A68" s="11" t="s">
        <v>6</v>
      </c>
      <c r="B68" t="s">
        <v>64</v>
      </c>
      <c r="C68" t="s">
        <v>158</v>
      </c>
      <c r="D68" t="s">
        <v>159</v>
      </c>
      <c r="E68" s="15">
        <v>199.87309999999999</v>
      </c>
      <c r="F68" s="5">
        <v>781</v>
      </c>
      <c r="G68" s="5">
        <v>25</v>
      </c>
      <c r="H68" s="5">
        <v>11</v>
      </c>
      <c r="I68" s="5">
        <f ca="1">Table2[[#This Row],[P.t(mb)]]-36</f>
        <v>786</v>
      </c>
      <c r="J68" s="5">
        <v>27</v>
      </c>
      <c r="K68" s="5">
        <v>13</v>
      </c>
      <c r="L68">
        <v>18.633134723861879</v>
      </c>
      <c r="M68">
        <v>21.607937762533659</v>
      </c>
      <c r="N68">
        <v>75.371721447925381</v>
      </c>
      <c r="O68">
        <v>199.88816477961811</v>
      </c>
      <c r="P68">
        <v>1.506477961813333E-2</v>
      </c>
      <c r="S68">
        <v>194.36608231485599</v>
      </c>
      <c r="T68" s="19">
        <v>2274.8063999999999</v>
      </c>
    </row>
    <row r="69" spans="1:20">
      <c r="A69" s="8" t="s">
        <v>9</v>
      </c>
      <c r="B69" s="1" t="s">
        <v>12</v>
      </c>
      <c r="C69" t="s">
        <v>372</v>
      </c>
      <c r="D69" t="s">
        <v>189</v>
      </c>
      <c r="E69" s="15">
        <v>248.88363333333334</v>
      </c>
      <c r="F69" s="5">
        <v>773</v>
      </c>
      <c r="G69" s="5">
        <v>30.5</v>
      </c>
      <c r="H69" s="5">
        <v>13</v>
      </c>
      <c r="I69" s="5">
        <f ca="1">Table2[[#This Row],[P.t(mb)]]-36</f>
        <v>779</v>
      </c>
      <c r="J69" s="5">
        <v>31</v>
      </c>
      <c r="K69" s="5">
        <v>14</v>
      </c>
      <c r="L69">
        <v>13.817849180412219</v>
      </c>
      <c r="M69">
        <v>16.088830544895419</v>
      </c>
      <c r="N69">
        <v>80.654289814544853</v>
      </c>
      <c r="O69">
        <v>248.90370686602631</v>
      </c>
      <c r="P69">
        <v>2.007353269296358E-2</v>
      </c>
      <c r="S69">
        <v>248.88758823931411</v>
      </c>
      <c r="T69" s="19">
        <v>2255.1309999999999</v>
      </c>
    </row>
    <row r="70" spans="1:20">
      <c r="A70" s="8" t="s">
        <v>9</v>
      </c>
      <c r="B70" t="s">
        <v>22</v>
      </c>
      <c r="C70" t="s">
        <v>161</v>
      </c>
      <c r="D70" t="s">
        <v>162</v>
      </c>
      <c r="E70" s="15">
        <v>223.20689999999999</v>
      </c>
      <c r="F70" s="5">
        <v>773</v>
      </c>
      <c r="G70" s="5">
        <v>30.5</v>
      </c>
      <c r="H70" s="5">
        <v>13</v>
      </c>
      <c r="I70" s="5">
        <f ca="1">Table2[[#This Row],[P.t(mb)]]-36</f>
        <v>778</v>
      </c>
      <c r="J70" s="5">
        <v>30</v>
      </c>
      <c r="K70" s="5">
        <v>14</v>
      </c>
      <c r="L70">
        <v>13.817849180412219</v>
      </c>
      <c r="M70">
        <v>18.275581215503081</v>
      </c>
      <c r="N70">
        <v>80.458775009790202</v>
      </c>
      <c r="O70">
        <v>223.22485895374771</v>
      </c>
      <c r="P70">
        <v>1.795895374773274E-2</v>
      </c>
      <c r="S70">
        <v>222.30742855506489</v>
      </c>
      <c r="T70" s="19">
        <v>2255.1309999999999</v>
      </c>
    </row>
    <row r="71" spans="1:20">
      <c r="A71" s="8" t="s">
        <v>9</v>
      </c>
      <c r="B71" t="s">
        <v>6</v>
      </c>
      <c r="C71" t="s">
        <v>163</v>
      </c>
      <c r="D71" t="s">
        <v>164</v>
      </c>
      <c r="E71" s="15">
        <v>138.83410000000001</v>
      </c>
      <c r="F71" s="5">
        <v>773</v>
      </c>
      <c r="G71" s="5">
        <v>30.5</v>
      </c>
      <c r="H71" s="5">
        <v>13</v>
      </c>
      <c r="I71" s="5">
        <f ca="1">Table2[[#This Row],[P.t(mb)]]-36</f>
        <v>778</v>
      </c>
      <c r="J71" s="5">
        <v>30</v>
      </c>
      <c r="K71" s="5">
        <v>14</v>
      </c>
      <c r="L71">
        <v>13.817849180412219</v>
      </c>
      <c r="M71">
        <v>18.275581215503081</v>
      </c>
      <c r="N71">
        <v>80.458775009790202</v>
      </c>
      <c r="O71">
        <v>138.8452704216156</v>
      </c>
      <c r="P71">
        <v>1.117042161558671E-2</v>
      </c>
      <c r="S71">
        <v>137.44219111867</v>
      </c>
      <c r="T71" s="19">
        <v>2255.1309999999999</v>
      </c>
    </row>
    <row r="72" spans="1:20">
      <c r="A72" s="8" t="s">
        <v>9</v>
      </c>
      <c r="B72" t="s">
        <v>26</v>
      </c>
      <c r="C72" t="s">
        <v>165</v>
      </c>
      <c r="D72" t="s">
        <v>166</v>
      </c>
      <c r="E72" s="15">
        <v>475.42290000000003</v>
      </c>
      <c r="F72" s="5">
        <v>773</v>
      </c>
      <c r="G72" s="5">
        <v>30.5</v>
      </c>
      <c r="H72" s="5">
        <v>13</v>
      </c>
      <c r="I72" s="5">
        <f ca="1">Table2[[#This Row],[P.t(mb)]]-36</f>
        <v>777</v>
      </c>
      <c r="J72" s="5">
        <v>30.5</v>
      </c>
      <c r="K72" s="5">
        <v>14.5</v>
      </c>
      <c r="L72">
        <v>13.817849180412219</v>
      </c>
      <c r="M72">
        <v>18.986813220459268</v>
      </c>
      <c r="N72">
        <v>80.770527200230362</v>
      </c>
      <c r="O72">
        <v>475.46130015827612</v>
      </c>
      <c r="P72">
        <v>3.8400158276062399E-2</v>
      </c>
      <c r="S72">
        <v>474.78768093250761</v>
      </c>
      <c r="T72" s="19">
        <v>2255.1309999999999</v>
      </c>
    </row>
    <row r="73" spans="1:20">
      <c r="A73" s="8" t="s">
        <v>9</v>
      </c>
      <c r="B73" t="s">
        <v>16</v>
      </c>
      <c r="C73" t="s">
        <v>167</v>
      </c>
      <c r="D73" t="s">
        <v>168</v>
      </c>
      <c r="E73" s="15">
        <v>461.80680000000001</v>
      </c>
      <c r="F73" s="5">
        <v>773</v>
      </c>
      <c r="G73" s="5">
        <v>30.5</v>
      </c>
      <c r="H73" s="5">
        <v>13</v>
      </c>
      <c r="I73" s="5">
        <f ca="1">Table2[[#This Row],[P.t(mb)]]-36</f>
        <v>779</v>
      </c>
      <c r="J73" s="5">
        <v>30.5</v>
      </c>
      <c r="K73" s="5">
        <v>14.5</v>
      </c>
      <c r="L73">
        <v>13.817849180412219</v>
      </c>
      <c r="M73">
        <v>18.93833753558722</v>
      </c>
      <c r="N73">
        <v>80.50454088100696</v>
      </c>
      <c r="O73">
        <v>461.84397754440971</v>
      </c>
      <c r="P73">
        <v>3.7177544409727009E-2</v>
      </c>
      <c r="S73">
        <v>461.83887317494373</v>
      </c>
      <c r="T73" s="19">
        <v>2255.1309999999999</v>
      </c>
    </row>
    <row r="74" spans="1:20">
      <c r="A74" s="8" t="s">
        <v>9</v>
      </c>
      <c r="B74" t="s">
        <v>19</v>
      </c>
      <c r="C74" t="s">
        <v>169</v>
      </c>
      <c r="D74" t="s">
        <v>170</v>
      </c>
      <c r="E74" s="15">
        <v>375.27730000000003</v>
      </c>
      <c r="F74" s="5">
        <v>773</v>
      </c>
      <c r="G74" s="5">
        <v>30.5</v>
      </c>
      <c r="H74" s="5">
        <v>13</v>
      </c>
      <c r="I74" s="5">
        <f ca="1">Table2[[#This Row],[P.t(mb)]]-36</f>
        <v>779</v>
      </c>
      <c r="J74" s="5">
        <v>30.5</v>
      </c>
      <c r="K74" s="5">
        <v>14.5</v>
      </c>
      <c r="L74">
        <v>13.817849180412219</v>
      </c>
      <c r="M74">
        <v>18.93833753558722</v>
      </c>
      <c r="N74">
        <v>80.50454088100696</v>
      </c>
      <c r="O74">
        <v>375.30751152673957</v>
      </c>
      <c r="P74">
        <v>3.0211526739563919E-2</v>
      </c>
      <c r="S74">
        <v>375.21193349416922</v>
      </c>
      <c r="T74" s="19">
        <v>2255.1309999999999</v>
      </c>
    </row>
    <row r="75" spans="1:20">
      <c r="A75" s="8" t="s">
        <v>9</v>
      </c>
      <c r="B75" t="s">
        <v>29</v>
      </c>
      <c r="C75" t="s">
        <v>171</v>
      </c>
      <c r="D75" t="s">
        <v>172</v>
      </c>
      <c r="E75" s="15">
        <v>363.29930000000002</v>
      </c>
      <c r="F75" s="5">
        <v>773</v>
      </c>
      <c r="G75" s="5">
        <v>30.5</v>
      </c>
      <c r="H75" s="5">
        <v>13</v>
      </c>
      <c r="I75" s="5">
        <f ca="1">Table2[[#This Row],[P.t(mb)]]-36</f>
        <v>779</v>
      </c>
      <c r="J75" s="5">
        <v>30.5</v>
      </c>
      <c r="K75" s="5">
        <v>14.5</v>
      </c>
      <c r="L75">
        <v>13.817849180412219</v>
      </c>
      <c r="M75">
        <v>18.93833753558722</v>
      </c>
      <c r="N75">
        <v>80.50454088100696</v>
      </c>
      <c r="O75">
        <v>363.32854724334891</v>
      </c>
      <c r="P75">
        <v>2.924724334889121E-2</v>
      </c>
      <c r="S75">
        <v>363.30621361731062</v>
      </c>
      <c r="T75" s="19">
        <v>2255.1309999999999</v>
      </c>
    </row>
    <row r="76" spans="1:20">
      <c r="A76" s="8" t="s">
        <v>9</v>
      </c>
      <c r="B76" t="s">
        <v>112</v>
      </c>
      <c r="C76" t="s">
        <v>173</v>
      </c>
      <c r="D76" t="s">
        <v>174</v>
      </c>
      <c r="E76" s="15">
        <v>162.19479999999999</v>
      </c>
      <c r="F76" s="5">
        <v>779</v>
      </c>
      <c r="G76" s="5">
        <v>17</v>
      </c>
      <c r="H76" s="5">
        <v>8</v>
      </c>
      <c r="I76" s="5">
        <f ca="1">Table2[[#This Row],[P.t(mb)]]-36</f>
        <v>778</v>
      </c>
      <c r="J76" s="5">
        <v>19</v>
      </c>
      <c r="K76" s="5">
        <v>10</v>
      </c>
      <c r="L76">
        <v>31.485673855139289</v>
      </c>
      <c r="M76">
        <v>34.847423653086622</v>
      </c>
      <c r="N76">
        <v>70.963059497171201</v>
      </c>
      <c r="O76">
        <v>162.20630983924249</v>
      </c>
      <c r="P76">
        <v>1.150983924253178E-2</v>
      </c>
      <c r="S76">
        <v>161.05919002482429</v>
      </c>
      <c r="T76" s="19">
        <v>2255.1309999999999</v>
      </c>
    </row>
    <row r="77" spans="1:20">
      <c r="A77" s="8" t="s">
        <v>9</v>
      </c>
      <c r="B77" t="s">
        <v>115</v>
      </c>
      <c r="C77" t="s">
        <v>175</v>
      </c>
      <c r="D77" t="s">
        <v>176</v>
      </c>
      <c r="E77" s="15">
        <v>169.5034</v>
      </c>
      <c r="F77" s="5">
        <v>779</v>
      </c>
      <c r="G77" s="5">
        <v>17</v>
      </c>
      <c r="H77" s="5">
        <v>8</v>
      </c>
      <c r="I77" s="5">
        <f ca="1">Table2[[#This Row],[P.t(mb)]]-36</f>
        <v>778</v>
      </c>
      <c r="J77" s="5">
        <v>19</v>
      </c>
      <c r="K77" s="5">
        <v>10</v>
      </c>
      <c r="L77">
        <v>31.485673855139289</v>
      </c>
      <c r="M77">
        <v>34.847423653086622</v>
      </c>
      <c r="N77">
        <v>70.963059497171201</v>
      </c>
      <c r="O77">
        <v>169.5154284798592</v>
      </c>
      <c r="P77">
        <v>1.2028479859172809E-2</v>
      </c>
      <c r="S77">
        <v>168.37802110452591</v>
      </c>
      <c r="T77" s="19">
        <v>2255.1309999999999</v>
      </c>
    </row>
    <row r="78" spans="1:20">
      <c r="A78" s="8" t="s">
        <v>9</v>
      </c>
      <c r="B78" t="s">
        <v>118</v>
      </c>
      <c r="C78" t="s">
        <v>177</v>
      </c>
      <c r="D78" t="s">
        <v>178</v>
      </c>
      <c r="E78" s="15">
        <v>295.4289</v>
      </c>
      <c r="F78" s="5">
        <v>779</v>
      </c>
      <c r="G78" s="5">
        <v>17</v>
      </c>
      <c r="H78" s="5">
        <v>8</v>
      </c>
      <c r="I78" s="5">
        <f ca="1">Table2[[#This Row],[P.t(mb)]]-36</f>
        <v>778</v>
      </c>
      <c r="J78" s="5">
        <v>19</v>
      </c>
      <c r="K78" s="5">
        <v>10</v>
      </c>
      <c r="L78">
        <v>31.485673855139289</v>
      </c>
      <c r="M78">
        <v>34.847423653086622</v>
      </c>
      <c r="N78">
        <v>70.963059497171201</v>
      </c>
      <c r="O78">
        <v>295.44986453860793</v>
      </c>
      <c r="P78">
        <v>2.0964538607883838E-2</v>
      </c>
      <c r="S78">
        <v>294.7986489937656</v>
      </c>
      <c r="T78" s="19">
        <v>2255.1309999999999</v>
      </c>
    </row>
    <row r="79" spans="1:20">
      <c r="A79" s="8" t="s">
        <v>9</v>
      </c>
      <c r="B79" t="s">
        <v>121</v>
      </c>
      <c r="C79" t="s">
        <v>179</v>
      </c>
      <c r="D79" t="s">
        <v>180</v>
      </c>
      <c r="E79" s="15">
        <v>383.58440000000002</v>
      </c>
      <c r="F79" s="5">
        <v>779</v>
      </c>
      <c r="G79" s="5">
        <v>17</v>
      </c>
      <c r="H79" s="5">
        <v>8</v>
      </c>
      <c r="I79" s="5">
        <f ca="1">Table2[[#This Row],[P.t(mb)]]-36</f>
        <v>778</v>
      </c>
      <c r="J79" s="5">
        <v>19</v>
      </c>
      <c r="K79" s="5">
        <v>10</v>
      </c>
      <c r="L79">
        <v>31.485673855139289</v>
      </c>
      <c r="M79">
        <v>34.847423653086622</v>
      </c>
      <c r="N79">
        <v>70.963059497171201</v>
      </c>
      <c r="O79">
        <v>383.61162032259938</v>
      </c>
      <c r="P79">
        <v>2.7220322599386719E-2</v>
      </c>
      <c r="S79">
        <v>383.10801452411522</v>
      </c>
      <c r="T79" s="19">
        <v>2255.1309999999999</v>
      </c>
    </row>
    <row r="80" spans="1:20">
      <c r="A80" s="8" t="s">
        <v>9</v>
      </c>
      <c r="B80" t="s">
        <v>91</v>
      </c>
      <c r="C80" t="s">
        <v>181</v>
      </c>
      <c r="D80" t="s">
        <v>182</v>
      </c>
      <c r="E80" s="15">
        <v>511.02350000000001</v>
      </c>
      <c r="F80" s="5">
        <v>779</v>
      </c>
      <c r="G80" s="5">
        <v>17</v>
      </c>
      <c r="H80" s="5">
        <v>8</v>
      </c>
      <c r="I80" s="5">
        <f ca="1">Table2[[#This Row],[P.t(mb)]]-36</f>
        <v>778</v>
      </c>
      <c r="J80" s="5">
        <v>19</v>
      </c>
      <c r="K80" s="5">
        <v>10</v>
      </c>
      <c r="L80">
        <v>31.485673855139289</v>
      </c>
      <c r="M80">
        <v>34.847423653086622</v>
      </c>
      <c r="N80">
        <v>70.963059497171201</v>
      </c>
      <c r="O80">
        <v>511.05976379103498</v>
      </c>
      <c r="P80">
        <v>3.6263791034952669E-2</v>
      </c>
      <c r="S80">
        <v>510.68103623126228</v>
      </c>
      <c r="T80" s="19">
        <v>2255.1309999999999</v>
      </c>
    </row>
    <row r="81" spans="1:20">
      <c r="A81" s="8" t="s">
        <v>9</v>
      </c>
      <c r="B81" t="s">
        <v>153</v>
      </c>
      <c r="C81" t="s">
        <v>183</v>
      </c>
      <c r="D81" t="s">
        <v>184</v>
      </c>
      <c r="E81" s="15">
        <v>190.01490000000001</v>
      </c>
      <c r="F81" s="5">
        <v>779</v>
      </c>
      <c r="G81" s="5">
        <v>17</v>
      </c>
      <c r="H81" s="5">
        <v>8</v>
      </c>
      <c r="I81" s="5">
        <f ca="1">Table2[[#This Row],[P.t(mb)]]-36</f>
        <v>781</v>
      </c>
      <c r="J81" s="5">
        <v>19</v>
      </c>
      <c r="K81" s="5">
        <v>10</v>
      </c>
      <c r="L81">
        <v>31.485673855139289</v>
      </c>
      <c r="M81">
        <v>34.766132574641432</v>
      </c>
      <c r="N81">
        <v>70.547240137719712</v>
      </c>
      <c r="O81">
        <v>190.02830502678009</v>
      </c>
      <c r="P81">
        <v>1.34050267800448E-2</v>
      </c>
      <c r="S81">
        <v>189.83305881000271</v>
      </c>
      <c r="T81" s="19">
        <v>2255.1309999999999</v>
      </c>
    </row>
    <row r="82" spans="1:20">
      <c r="A82" s="8" t="s">
        <v>9</v>
      </c>
      <c r="B82" t="s">
        <v>61</v>
      </c>
      <c r="C82" t="s">
        <v>185</v>
      </c>
      <c r="D82" t="s">
        <v>186</v>
      </c>
      <c r="E82" s="15">
        <v>277.73050000000001</v>
      </c>
      <c r="F82" s="5">
        <v>779</v>
      </c>
      <c r="G82" s="5">
        <v>17</v>
      </c>
      <c r="H82" s="5">
        <v>8</v>
      </c>
      <c r="I82" s="5">
        <f ca="1">Table2[[#This Row],[P.t(mb)]]-36</f>
        <v>780</v>
      </c>
      <c r="J82" s="5">
        <v>19</v>
      </c>
      <c r="K82" s="5">
        <v>10</v>
      </c>
      <c r="L82">
        <v>31.485673855139289</v>
      </c>
      <c r="M82">
        <v>34.793229600789829</v>
      </c>
      <c r="N82">
        <v>70.685846590870227</v>
      </c>
      <c r="O82">
        <v>277.75013161551658</v>
      </c>
      <c r="P82">
        <v>1.963161551660569E-2</v>
      </c>
      <c r="S82">
        <v>277.74836767885063</v>
      </c>
      <c r="T82" s="19">
        <v>2255.1309999999999</v>
      </c>
    </row>
    <row r="83" spans="1:20">
      <c r="A83" s="8" t="s">
        <v>9</v>
      </c>
      <c r="B83" t="s">
        <v>64</v>
      </c>
      <c r="C83" t="s">
        <v>187</v>
      </c>
      <c r="D83" t="s">
        <v>188</v>
      </c>
      <c r="E83" s="15">
        <v>166.32740000000001</v>
      </c>
      <c r="F83" s="5">
        <v>779</v>
      </c>
      <c r="G83" s="5">
        <v>17.5</v>
      </c>
      <c r="H83" s="5">
        <v>8</v>
      </c>
      <c r="I83" s="5">
        <f ca="1">Table2[[#This Row],[P.t(mb)]]-36</f>
        <v>783</v>
      </c>
      <c r="J83" s="5">
        <v>19.5</v>
      </c>
      <c r="K83" s="5">
        <v>10</v>
      </c>
      <c r="L83">
        <v>29.21808350067111</v>
      </c>
      <c r="M83">
        <v>32.505899948648327</v>
      </c>
      <c r="N83">
        <v>70.63046418858363</v>
      </c>
      <c r="O83">
        <v>166.33914778146931</v>
      </c>
      <c r="P83">
        <v>1.1747781469280219E-2</v>
      </c>
      <c r="S83">
        <v>164.13822132392539</v>
      </c>
      <c r="T83" s="19">
        <v>2255.1309999999999</v>
      </c>
    </row>
    <row r="84" spans="1:20">
      <c r="A84" s="12" t="s">
        <v>12</v>
      </c>
      <c r="B84" s="1" t="s">
        <v>9</v>
      </c>
      <c r="C84" t="s">
        <v>372</v>
      </c>
      <c r="D84" t="s">
        <v>194</v>
      </c>
      <c r="E84" s="15">
        <v>248.88239999999999</v>
      </c>
      <c r="F84" s="5">
        <v>782</v>
      </c>
      <c r="G84" s="5">
        <v>31</v>
      </c>
      <c r="H84" s="5">
        <v>13.5</v>
      </c>
      <c r="I84" s="5">
        <v>782</v>
      </c>
      <c r="J84" s="5">
        <v>28</v>
      </c>
      <c r="K84" s="5">
        <v>13</v>
      </c>
      <c r="L84">
        <v>14.30149833016362</v>
      </c>
      <c r="M84">
        <v>19.109673193010551</v>
      </c>
      <c r="N84">
        <v>78.215791821472038</v>
      </c>
      <c r="O84">
        <v>248.90186653398641</v>
      </c>
      <c r="P84">
        <v>1.9466533986428329E-2</v>
      </c>
      <c r="S84">
        <v>248.8857691692408</v>
      </c>
      <c r="T84" s="19">
        <v>2257.9592499999999</v>
      </c>
    </row>
    <row r="85" spans="1:20">
      <c r="A85" s="12" t="s">
        <v>12</v>
      </c>
      <c r="B85" t="s">
        <v>22</v>
      </c>
      <c r="C85" t="s">
        <v>190</v>
      </c>
      <c r="D85" t="s">
        <v>191</v>
      </c>
      <c r="E85" s="15">
        <v>435.93239999999997</v>
      </c>
      <c r="F85" s="5">
        <v>782</v>
      </c>
      <c r="G85" s="5">
        <v>31</v>
      </c>
      <c r="H85" s="5">
        <v>13.5</v>
      </c>
      <c r="I85" s="5">
        <v>781</v>
      </c>
      <c r="J85" s="5">
        <v>29.5</v>
      </c>
      <c r="K85" s="5">
        <v>13</v>
      </c>
      <c r="L85">
        <v>14.30149833016362</v>
      </c>
      <c r="M85">
        <v>15.66302820194981</v>
      </c>
      <c r="N85">
        <v>78.846889165450023</v>
      </c>
      <c r="O85">
        <v>435.96677191362642</v>
      </c>
      <c r="P85">
        <v>3.4371913626428621E-2</v>
      </c>
      <c r="S85">
        <v>435.61991473671509</v>
      </c>
      <c r="T85" s="19">
        <v>2257.9592499999999</v>
      </c>
    </row>
    <row r="86" spans="1:20">
      <c r="A86" s="12" t="s">
        <v>12</v>
      </c>
      <c r="B86" t="s">
        <v>6</v>
      </c>
      <c r="C86" t="s">
        <v>192</v>
      </c>
      <c r="D86" t="s">
        <v>193</v>
      </c>
      <c r="E86" s="15">
        <v>383.89350000000002</v>
      </c>
      <c r="F86" s="5">
        <v>782</v>
      </c>
      <c r="G86" s="5">
        <v>31</v>
      </c>
      <c r="H86" s="5">
        <v>13.5</v>
      </c>
      <c r="I86" s="5">
        <v>781</v>
      </c>
      <c r="J86" s="5">
        <v>30</v>
      </c>
      <c r="K86" s="5">
        <v>13</v>
      </c>
      <c r="L86">
        <v>14.30149833016362</v>
      </c>
      <c r="M86">
        <v>14.61012347373399</v>
      </c>
      <c r="N86">
        <v>79.012639788826334</v>
      </c>
      <c r="O86">
        <v>383.92383243883279</v>
      </c>
      <c r="P86">
        <v>3.033243883277181E-2</v>
      </c>
      <c r="S86">
        <v>383.55355070990208</v>
      </c>
      <c r="T86" s="19">
        <v>2257.9592499999999</v>
      </c>
    </row>
    <row r="87" spans="1:20">
      <c r="A87" s="12" t="s">
        <v>12</v>
      </c>
      <c r="B87" t="s">
        <v>23</v>
      </c>
      <c r="C87" t="s">
        <v>195</v>
      </c>
      <c r="D87" t="s">
        <v>196</v>
      </c>
      <c r="E87" s="15">
        <v>712.19830000000002</v>
      </c>
      <c r="F87" s="5">
        <v>782</v>
      </c>
      <c r="G87" s="5">
        <v>31</v>
      </c>
      <c r="H87" s="5">
        <v>13.5</v>
      </c>
      <c r="I87" s="5">
        <f ca="1">Table2[[#This Row],[P.t(mb)]]-36</f>
        <v>781</v>
      </c>
      <c r="J87" s="5">
        <v>31</v>
      </c>
      <c r="K87" s="5">
        <v>13</v>
      </c>
      <c r="L87">
        <v>14.30149833016362</v>
      </c>
      <c r="M87">
        <v>12.647826517962089</v>
      </c>
      <c r="N87">
        <v>79.343908085238837</v>
      </c>
      <c r="O87">
        <v>712.2548085964537</v>
      </c>
      <c r="P87">
        <v>5.6508596453663358E-2</v>
      </c>
      <c r="S87">
        <v>711.86301573069011</v>
      </c>
      <c r="T87" s="19">
        <v>2257.9592499999999</v>
      </c>
    </row>
    <row r="88" spans="1:20">
      <c r="A88" s="12" t="s">
        <v>12</v>
      </c>
      <c r="B88" t="s">
        <v>16</v>
      </c>
      <c r="C88" t="s">
        <v>197</v>
      </c>
      <c r="D88" t="s">
        <v>198</v>
      </c>
      <c r="E88" s="15">
        <v>457.13679999999999</v>
      </c>
      <c r="F88" s="5">
        <v>782</v>
      </c>
      <c r="G88" s="5">
        <v>31</v>
      </c>
      <c r="H88" s="5">
        <v>13.5</v>
      </c>
      <c r="I88" s="5">
        <f ca="1">Table2[[#This Row],[P.t(mb)]]-36</f>
        <v>783</v>
      </c>
      <c r="J88" s="5">
        <v>29</v>
      </c>
      <c r="K88" s="5">
        <v>13</v>
      </c>
      <c r="L88">
        <v>14.30149833016362</v>
      </c>
      <c r="M88">
        <v>16.713872926598579</v>
      </c>
      <c r="N88">
        <v>78.414618788210191</v>
      </c>
      <c r="O88">
        <v>457.17264620790598</v>
      </c>
      <c r="P88">
        <v>3.5846207906062293E-2</v>
      </c>
      <c r="S88">
        <v>457.17217063065692</v>
      </c>
      <c r="T88" s="19">
        <v>2257.9592499999999</v>
      </c>
    </row>
    <row r="89" spans="1:20">
      <c r="A89" s="12" t="s">
        <v>12</v>
      </c>
      <c r="B89" t="s">
        <v>19</v>
      </c>
      <c r="C89" t="s">
        <v>199</v>
      </c>
      <c r="D89" t="s">
        <v>200</v>
      </c>
      <c r="E89" s="15">
        <v>479.3612</v>
      </c>
      <c r="F89" s="5">
        <v>782</v>
      </c>
      <c r="G89" s="5">
        <v>31</v>
      </c>
      <c r="H89" s="5">
        <v>13.5</v>
      </c>
      <c r="I89" s="5">
        <f ca="1">Table2[[#This Row],[P.t(mb)]]-36</f>
        <v>782</v>
      </c>
      <c r="J89" s="5">
        <v>29</v>
      </c>
      <c r="K89" s="5">
        <v>13</v>
      </c>
      <c r="L89">
        <v>14.30149833016362</v>
      </c>
      <c r="M89">
        <v>16.740295399680821</v>
      </c>
      <c r="N89">
        <v>78.547842973205093</v>
      </c>
      <c r="O89">
        <v>479.39885278826512</v>
      </c>
      <c r="P89">
        <v>3.7652788265047157E-2</v>
      </c>
      <c r="S89">
        <v>479.36568777006408</v>
      </c>
      <c r="T89" s="19">
        <v>2257.9592499999999</v>
      </c>
    </row>
    <row r="90" spans="1:20">
      <c r="A90" s="12" t="s">
        <v>12</v>
      </c>
      <c r="B90" t="s">
        <v>29</v>
      </c>
      <c r="C90" t="s">
        <v>201</v>
      </c>
      <c r="D90" t="s">
        <v>202</v>
      </c>
      <c r="E90" s="15">
        <v>417.71129999999999</v>
      </c>
      <c r="F90" s="5">
        <v>782</v>
      </c>
      <c r="G90" s="5">
        <v>31</v>
      </c>
      <c r="H90" s="5">
        <v>13.5</v>
      </c>
      <c r="I90" s="5">
        <f ca="1">Table2[[#This Row],[P.t(mb)]]-36</f>
        <v>784</v>
      </c>
      <c r="J90" s="5">
        <v>29</v>
      </c>
      <c r="K90" s="5">
        <v>13</v>
      </c>
      <c r="L90">
        <v>14.30149833016362</v>
      </c>
      <c r="M90">
        <v>16.687450453516341</v>
      </c>
      <c r="N90">
        <v>78.28139460321529</v>
      </c>
      <c r="O90">
        <v>417.74399902310552</v>
      </c>
      <c r="P90">
        <v>3.2699023105522043E-2</v>
      </c>
      <c r="S90">
        <v>417.6876089659288</v>
      </c>
      <c r="T90" s="19">
        <v>2257.9592499999999</v>
      </c>
    </row>
    <row r="91" spans="1:20">
      <c r="A91" s="12" t="s">
        <v>12</v>
      </c>
      <c r="B91" t="s">
        <v>153</v>
      </c>
      <c r="C91" t="s">
        <v>203</v>
      </c>
      <c r="D91" t="s">
        <v>204</v>
      </c>
      <c r="E91" s="15">
        <v>389.91410000000002</v>
      </c>
      <c r="F91" s="5">
        <v>782</v>
      </c>
      <c r="G91" s="5">
        <v>31</v>
      </c>
      <c r="H91" s="5">
        <v>13.5</v>
      </c>
      <c r="I91" s="5">
        <f ca="1">Table2[[#This Row],[P.t(mb)]]-36</f>
        <v>784</v>
      </c>
      <c r="J91" s="5">
        <v>30</v>
      </c>
      <c r="K91" s="5">
        <v>13</v>
      </c>
      <c r="L91">
        <v>14.30149833016362</v>
      </c>
      <c r="M91">
        <v>14.53061899807968</v>
      </c>
      <c r="N91">
        <v>78.61360531288986</v>
      </c>
      <c r="O91">
        <v>389.94475255316343</v>
      </c>
      <c r="P91">
        <v>3.0652553163330671E-2</v>
      </c>
      <c r="S91">
        <v>389.77679826201478</v>
      </c>
      <c r="T91" s="19">
        <v>2257.9592499999999</v>
      </c>
    </row>
    <row r="92" spans="1:20">
      <c r="A92" s="9" t="s">
        <v>15</v>
      </c>
      <c r="B92" s="1" t="s">
        <v>26</v>
      </c>
      <c r="C92" t="s">
        <v>372</v>
      </c>
      <c r="D92" t="s">
        <v>225</v>
      </c>
      <c r="E92" s="15">
        <v>264.46800000000002</v>
      </c>
      <c r="F92" s="5">
        <v>778</v>
      </c>
      <c r="G92" s="5">
        <v>23.5</v>
      </c>
      <c r="H92" s="5">
        <v>12</v>
      </c>
      <c r="I92" s="5">
        <v>778</v>
      </c>
      <c r="J92" s="5">
        <v>24</v>
      </c>
      <c r="K92" s="5">
        <v>12</v>
      </c>
      <c r="L92">
        <v>28.024997291482052</v>
      </c>
      <c r="M92">
        <v>26.332177960955061</v>
      </c>
      <c r="N92">
        <v>75.313413852352994</v>
      </c>
      <c r="O92">
        <v>264.48791798793468</v>
      </c>
      <c r="P92">
        <v>1.991798793470409E-2</v>
      </c>
      <c r="S92">
        <v>264.42386081677182</v>
      </c>
      <c r="T92" s="19">
        <v>2286.2415000000001</v>
      </c>
    </row>
    <row r="93" spans="1:20">
      <c r="A93" s="9" t="s">
        <v>15</v>
      </c>
      <c r="B93" t="s">
        <v>22</v>
      </c>
      <c r="C93" t="s">
        <v>215</v>
      </c>
      <c r="D93" t="s">
        <v>216</v>
      </c>
      <c r="E93" s="15">
        <v>427.17950000000002</v>
      </c>
      <c r="F93" s="5">
        <v>778</v>
      </c>
      <c r="G93" s="5">
        <v>23.5</v>
      </c>
      <c r="H93" s="5">
        <v>12</v>
      </c>
      <c r="I93" s="5">
        <v>779</v>
      </c>
      <c r="J93" s="5">
        <v>24.5</v>
      </c>
      <c r="K93" s="5">
        <v>13</v>
      </c>
      <c r="L93">
        <v>28.024997291482052</v>
      </c>
      <c r="M93">
        <v>29.459970291288339</v>
      </c>
      <c r="N93">
        <v>75.377527074574004</v>
      </c>
      <c r="O93">
        <v>427.211699734327</v>
      </c>
      <c r="P93">
        <v>3.2199734326952993E-2</v>
      </c>
      <c r="S93">
        <v>427.07265964035849</v>
      </c>
      <c r="T93" s="19">
        <v>2286.2415000000001</v>
      </c>
    </row>
    <row r="94" spans="1:20">
      <c r="A94" s="9" t="s">
        <v>15</v>
      </c>
      <c r="B94" t="s">
        <v>0</v>
      </c>
      <c r="C94" t="s">
        <v>217</v>
      </c>
      <c r="D94" t="s">
        <v>218</v>
      </c>
      <c r="E94" s="15">
        <v>597.9239</v>
      </c>
      <c r="F94" s="5">
        <v>778</v>
      </c>
      <c r="G94" s="5">
        <v>23.5</v>
      </c>
      <c r="H94" s="5">
        <v>12</v>
      </c>
      <c r="I94" s="5">
        <v>779</v>
      </c>
      <c r="J94" s="5">
        <v>24.5</v>
      </c>
      <c r="K94" s="5">
        <v>13</v>
      </c>
      <c r="L94">
        <v>28.024997291482052</v>
      </c>
      <c r="M94">
        <v>29.459970291288339</v>
      </c>
      <c r="N94">
        <v>75.377527074574004</v>
      </c>
      <c r="O94">
        <v>597.96897002496075</v>
      </c>
      <c r="P94">
        <v>4.5070024960784882E-2</v>
      </c>
      <c r="S94">
        <v>597.87352220069192</v>
      </c>
      <c r="T94" s="19">
        <v>2286.2415000000001</v>
      </c>
    </row>
    <row r="95" spans="1:20">
      <c r="A95" s="9" t="s">
        <v>15</v>
      </c>
      <c r="B95" t="s">
        <v>3</v>
      </c>
      <c r="C95" t="s">
        <v>219</v>
      </c>
      <c r="D95" t="s">
        <v>220</v>
      </c>
      <c r="E95" s="15">
        <v>620.83669999999995</v>
      </c>
      <c r="F95" s="5">
        <v>778</v>
      </c>
      <c r="G95" s="5">
        <v>23.5</v>
      </c>
      <c r="H95" s="5">
        <v>12</v>
      </c>
      <c r="I95" s="5">
        <v>779</v>
      </c>
      <c r="J95" s="5">
        <v>24.5</v>
      </c>
      <c r="K95" s="5">
        <v>13</v>
      </c>
      <c r="L95">
        <v>28.024997291482052</v>
      </c>
      <c r="M95">
        <v>29.459970291288339</v>
      </c>
      <c r="N95">
        <v>75.377527074574004</v>
      </c>
      <c r="O95">
        <v>620.88349713516311</v>
      </c>
      <c r="P95">
        <v>4.6797135163139172E-2</v>
      </c>
      <c r="S95">
        <v>620.85225955016244</v>
      </c>
      <c r="T95" s="19">
        <v>2286.2415000000001</v>
      </c>
    </row>
    <row r="96" spans="1:20">
      <c r="A96" s="9" t="s">
        <v>15</v>
      </c>
      <c r="B96" t="s">
        <v>6</v>
      </c>
      <c r="C96" t="s">
        <v>221</v>
      </c>
      <c r="D96" t="s">
        <v>222</v>
      </c>
      <c r="E96" s="15">
        <v>615.23069999999996</v>
      </c>
      <c r="F96" s="5">
        <v>778</v>
      </c>
      <c r="G96" s="5">
        <v>23.5</v>
      </c>
      <c r="H96" s="5">
        <v>12</v>
      </c>
      <c r="I96" s="5">
        <v>779</v>
      </c>
      <c r="J96" s="5">
        <v>24.5</v>
      </c>
      <c r="K96" s="5">
        <v>13</v>
      </c>
      <c r="L96">
        <v>28.024997291482052</v>
      </c>
      <c r="M96">
        <v>29.459970291288339</v>
      </c>
      <c r="N96">
        <v>75.377527074574004</v>
      </c>
      <c r="O96">
        <v>615.27707456874634</v>
      </c>
      <c r="P96">
        <v>4.6374568746359111E-2</v>
      </c>
      <c r="S96">
        <v>615.17101633594859</v>
      </c>
      <c r="T96" s="19">
        <v>2286.2415000000001</v>
      </c>
    </row>
    <row r="97" spans="1:20">
      <c r="A97" s="9" t="s">
        <v>15</v>
      </c>
      <c r="B97" t="s">
        <v>23</v>
      </c>
      <c r="C97" t="s">
        <v>223</v>
      </c>
      <c r="D97" t="s">
        <v>224</v>
      </c>
      <c r="E97" s="15">
        <v>95.677099999999996</v>
      </c>
      <c r="F97" s="5">
        <v>778</v>
      </c>
      <c r="G97" s="5">
        <v>23.5</v>
      </c>
      <c r="H97" s="5">
        <v>12</v>
      </c>
      <c r="I97" s="5">
        <v>779</v>
      </c>
      <c r="J97" s="5">
        <v>24</v>
      </c>
      <c r="K97" s="5">
        <v>12</v>
      </c>
      <c r="L97">
        <v>28.024997291482052</v>
      </c>
      <c r="M97">
        <v>26.305570314777491</v>
      </c>
      <c r="N97">
        <v>75.177449490936198</v>
      </c>
      <c r="O97">
        <v>95.68429276035269</v>
      </c>
      <c r="P97">
        <v>7.1927603526892514E-3</v>
      </c>
      <c r="S97">
        <v>95.570059885081804</v>
      </c>
      <c r="T97" s="19">
        <v>2286.2415000000001</v>
      </c>
    </row>
    <row r="98" spans="1:20">
      <c r="A98" s="9" t="s">
        <v>15</v>
      </c>
      <c r="B98" t="s">
        <v>52</v>
      </c>
      <c r="C98" t="s">
        <v>205</v>
      </c>
      <c r="D98" t="s">
        <v>206</v>
      </c>
      <c r="E98" s="15">
        <v>560.57849999999996</v>
      </c>
      <c r="F98" s="5">
        <v>778</v>
      </c>
      <c r="G98" s="5">
        <v>23</v>
      </c>
      <c r="H98" s="5">
        <v>12</v>
      </c>
      <c r="I98" s="5">
        <v>779</v>
      </c>
      <c r="J98" s="5">
        <v>24</v>
      </c>
      <c r="K98" s="5">
        <v>12</v>
      </c>
      <c r="L98">
        <v>29.800006183066731</v>
      </c>
      <c r="M98">
        <v>26.305570314777491</v>
      </c>
      <c r="N98">
        <v>75.004722980516107</v>
      </c>
      <c r="O98">
        <v>560.62054603510126</v>
      </c>
      <c r="P98">
        <v>4.2046035101333243E-2</v>
      </c>
      <c r="S98">
        <v>560.49648334812878</v>
      </c>
      <c r="T98" s="19">
        <v>2286.2415000000001</v>
      </c>
    </row>
    <row r="99" spans="1:20">
      <c r="A99" s="9" t="s">
        <v>15</v>
      </c>
      <c r="B99" t="s">
        <v>40</v>
      </c>
      <c r="C99" t="s">
        <v>207</v>
      </c>
      <c r="D99" t="s">
        <v>208</v>
      </c>
      <c r="E99" s="15">
        <v>522.32060000000001</v>
      </c>
      <c r="F99" s="5">
        <v>778</v>
      </c>
      <c r="G99" s="5">
        <v>23</v>
      </c>
      <c r="H99" s="5">
        <v>12</v>
      </c>
      <c r="I99" s="5">
        <v>779</v>
      </c>
      <c r="J99" s="5">
        <v>24</v>
      </c>
      <c r="K99" s="5">
        <v>12</v>
      </c>
      <c r="L99">
        <v>29.800006183066731</v>
      </c>
      <c r="M99">
        <v>26.305570314777491</v>
      </c>
      <c r="N99">
        <v>75.004722980516107</v>
      </c>
      <c r="O99">
        <v>522.35977651191001</v>
      </c>
      <c r="P99">
        <v>3.9176511910016962E-2</v>
      </c>
      <c r="S99">
        <v>522.23361345656872</v>
      </c>
      <c r="T99" s="19">
        <v>2286.2415000000001</v>
      </c>
    </row>
    <row r="100" spans="1:20">
      <c r="A100" s="9" t="s">
        <v>15</v>
      </c>
      <c r="B100" t="s">
        <v>43</v>
      </c>
      <c r="C100" t="s">
        <v>209</v>
      </c>
      <c r="D100" t="s">
        <v>210</v>
      </c>
      <c r="E100" s="15">
        <v>428.26569999999998</v>
      </c>
      <c r="F100" s="5">
        <v>778</v>
      </c>
      <c r="G100" s="5">
        <v>23</v>
      </c>
      <c r="H100" s="5">
        <v>12</v>
      </c>
      <c r="I100" s="5">
        <v>779</v>
      </c>
      <c r="J100" s="5">
        <v>24</v>
      </c>
      <c r="K100" s="5">
        <v>12</v>
      </c>
      <c r="L100">
        <v>29.800006183066731</v>
      </c>
      <c r="M100">
        <v>26.305570314777491</v>
      </c>
      <c r="N100">
        <v>75.004722980516107</v>
      </c>
      <c r="O100">
        <v>428.29782195019061</v>
      </c>
      <c r="P100">
        <v>3.212195019055681E-2</v>
      </c>
      <c r="S100">
        <v>428.14372659256719</v>
      </c>
      <c r="T100" s="19">
        <v>2286.2415000000001</v>
      </c>
    </row>
    <row r="101" spans="1:20">
      <c r="A101" s="9" t="s">
        <v>15</v>
      </c>
      <c r="B101" t="s">
        <v>46</v>
      </c>
      <c r="C101" t="s">
        <v>211</v>
      </c>
      <c r="D101" t="s">
        <v>212</v>
      </c>
      <c r="E101" s="15">
        <v>337.03140000000002</v>
      </c>
      <c r="F101" s="5">
        <v>778</v>
      </c>
      <c r="G101" s="5">
        <v>23</v>
      </c>
      <c r="H101" s="5">
        <v>12</v>
      </c>
      <c r="I101" s="5">
        <v>779</v>
      </c>
      <c r="J101" s="5">
        <v>24</v>
      </c>
      <c r="K101" s="5">
        <v>12</v>
      </c>
      <c r="L101">
        <v>29.800006183066731</v>
      </c>
      <c r="M101">
        <v>26.305570314777491</v>
      </c>
      <c r="N101">
        <v>75.004722980516107</v>
      </c>
      <c r="O101">
        <v>337.05667894679277</v>
      </c>
      <c r="P101">
        <v>2.527894679273552E-2</v>
      </c>
      <c r="S101">
        <v>336.86128675784181</v>
      </c>
      <c r="T101" s="19">
        <v>2286.2415000000001</v>
      </c>
    </row>
    <row r="102" spans="1:20">
      <c r="A102" s="9" t="s">
        <v>15</v>
      </c>
      <c r="B102" t="s">
        <v>55</v>
      </c>
      <c r="C102" t="s">
        <v>213</v>
      </c>
      <c r="D102" t="s">
        <v>214</v>
      </c>
      <c r="E102" s="15">
        <v>252.90899999999999</v>
      </c>
      <c r="F102" s="5">
        <v>778</v>
      </c>
      <c r="G102" s="5">
        <v>23</v>
      </c>
      <c r="H102" s="5">
        <v>12</v>
      </c>
      <c r="I102" s="5">
        <v>779</v>
      </c>
      <c r="J102" s="5">
        <v>24</v>
      </c>
      <c r="K102" s="5">
        <v>12</v>
      </c>
      <c r="L102">
        <v>29.800006183066731</v>
      </c>
      <c r="M102">
        <v>26.305570314777491</v>
      </c>
      <c r="N102">
        <v>75.004722980516107</v>
      </c>
      <c r="O102">
        <v>252.92796936948429</v>
      </c>
      <c r="P102">
        <v>1.8969369484279349E-2</v>
      </c>
      <c r="S102">
        <v>252.6678304205056</v>
      </c>
      <c r="T102" s="19">
        <v>2286.2415000000001</v>
      </c>
    </row>
    <row r="103" spans="1:20">
      <c r="A103" s="13" t="s">
        <v>23</v>
      </c>
      <c r="B103" s="1" t="s">
        <v>26</v>
      </c>
      <c r="C103" t="s">
        <v>372</v>
      </c>
      <c r="D103" t="s">
        <v>252</v>
      </c>
      <c r="E103" s="15">
        <v>169.4941</v>
      </c>
      <c r="F103" s="5">
        <v>778</v>
      </c>
      <c r="G103" s="5">
        <v>22</v>
      </c>
      <c r="H103" s="5">
        <v>10.5</v>
      </c>
      <c r="I103" s="5">
        <f ca="1">Table2[[#This Row],[P.t(mb)]]-36</f>
        <v>778</v>
      </c>
      <c r="J103" s="5">
        <v>22.5</v>
      </c>
      <c r="K103" s="5">
        <v>12</v>
      </c>
      <c r="L103">
        <v>25.67378709383134</v>
      </c>
      <c r="M103">
        <v>31.66108964942044</v>
      </c>
      <c r="N103">
        <v>74.230669709508874</v>
      </c>
      <c r="O103">
        <v>169.50668166055479</v>
      </c>
      <c r="P103">
        <v>1.258166055481047E-2</v>
      </c>
      <c r="S103">
        <v>169.50279879974781</v>
      </c>
      <c r="T103" s="19">
        <v>2281.5715</v>
      </c>
    </row>
    <row r="104" spans="1:20">
      <c r="A104" s="13" t="s">
        <v>23</v>
      </c>
      <c r="B104" t="s">
        <v>22</v>
      </c>
      <c r="C104" t="s">
        <v>226</v>
      </c>
      <c r="D104" t="s">
        <v>227</v>
      </c>
      <c r="E104" s="15">
        <v>380.53390000000002</v>
      </c>
      <c r="F104" s="5">
        <v>778</v>
      </c>
      <c r="G104" s="5">
        <v>22</v>
      </c>
      <c r="H104" s="5">
        <v>10.5</v>
      </c>
      <c r="I104" s="5">
        <f ca="1">Table2[[#This Row],[P.t(mb)]]-36</f>
        <v>779</v>
      </c>
      <c r="J104" s="5">
        <v>23</v>
      </c>
      <c r="K104" s="5">
        <v>13</v>
      </c>
      <c r="L104">
        <v>25.67378709383134</v>
      </c>
      <c r="M104">
        <v>34.993414751027352</v>
      </c>
      <c r="N104">
        <v>74.295429319268294</v>
      </c>
      <c r="O104">
        <v>380.56217192947099</v>
      </c>
      <c r="P104">
        <v>2.827192947103551E-2</v>
      </c>
      <c r="S104">
        <v>380.51124557729747</v>
      </c>
      <c r="T104" s="19">
        <v>2281.5715</v>
      </c>
    </row>
    <row r="105" spans="1:20">
      <c r="A105" s="13" t="s">
        <v>23</v>
      </c>
      <c r="B105" t="s">
        <v>0</v>
      </c>
      <c r="C105" t="s">
        <v>228</v>
      </c>
      <c r="D105" t="s">
        <v>229</v>
      </c>
      <c r="E105" s="15">
        <v>601.90030000000002</v>
      </c>
      <c r="F105" s="5">
        <v>778</v>
      </c>
      <c r="G105" s="5">
        <v>22</v>
      </c>
      <c r="H105" s="5">
        <v>10.5</v>
      </c>
      <c r="I105" s="5">
        <f ca="1">Table2[[#This Row],[P.t(mb)]]-36</f>
        <v>779</v>
      </c>
      <c r="J105" s="5">
        <v>23</v>
      </c>
      <c r="K105" s="5">
        <v>13</v>
      </c>
      <c r="L105">
        <v>25.67378709383134</v>
      </c>
      <c r="M105">
        <v>34.993414751027352</v>
      </c>
      <c r="N105">
        <v>74.295429319268294</v>
      </c>
      <c r="O105">
        <v>601.94501844119588</v>
      </c>
      <c r="P105">
        <v>4.471844119589638E-2</v>
      </c>
      <c r="S105">
        <v>601.91486217447891</v>
      </c>
      <c r="T105" s="19">
        <v>2281.5715</v>
      </c>
    </row>
    <row r="106" spans="1:20">
      <c r="A106" s="13" t="s">
        <v>23</v>
      </c>
      <c r="B106" t="s">
        <v>3</v>
      </c>
      <c r="C106" t="s">
        <v>230</v>
      </c>
      <c r="D106" t="s">
        <v>231</v>
      </c>
      <c r="E106" s="15">
        <v>585.99059999999997</v>
      </c>
      <c r="F106" s="5">
        <v>778</v>
      </c>
      <c r="G106" s="5">
        <v>22</v>
      </c>
      <c r="H106" s="5">
        <v>10.5</v>
      </c>
      <c r="I106" s="5">
        <f ca="1">Table2[[#This Row],[P.t(mb)]]-36</f>
        <v>779</v>
      </c>
      <c r="J106" s="5">
        <v>23</v>
      </c>
      <c r="K106" s="5">
        <v>13</v>
      </c>
      <c r="L106">
        <v>25.67378709383134</v>
      </c>
      <c r="M106">
        <v>34.993414751027352</v>
      </c>
      <c r="N106">
        <v>74.295429319268294</v>
      </c>
      <c r="O106">
        <v>586.03413642320402</v>
      </c>
      <c r="P106">
        <v>4.3536423204055617E-2</v>
      </c>
      <c r="S106">
        <v>586.03206866207552</v>
      </c>
      <c r="T106" s="19">
        <v>2281.5715</v>
      </c>
    </row>
    <row r="107" spans="1:20">
      <c r="A107" s="13" t="s">
        <v>23</v>
      </c>
      <c r="B107" t="s">
        <v>6</v>
      </c>
      <c r="C107" t="s">
        <v>232</v>
      </c>
      <c r="D107" t="s">
        <v>233</v>
      </c>
      <c r="E107" s="15">
        <v>572.86</v>
      </c>
      <c r="F107" s="5">
        <v>778</v>
      </c>
      <c r="G107" s="5">
        <v>22</v>
      </c>
      <c r="H107" s="5">
        <v>10.5</v>
      </c>
      <c r="I107" s="5">
        <f ca="1">Table2[[#This Row],[P.t(mb)]]-36</f>
        <v>779</v>
      </c>
      <c r="J107" s="5">
        <v>23</v>
      </c>
      <c r="K107" s="5">
        <v>13</v>
      </c>
      <c r="L107">
        <v>25.67378709383134</v>
      </c>
      <c r="M107">
        <v>34.993414751027352</v>
      </c>
      <c r="N107">
        <v>74.295429319268294</v>
      </c>
      <c r="O107">
        <v>572.90256087963985</v>
      </c>
      <c r="P107">
        <v>4.2560879639836027E-2</v>
      </c>
      <c r="S107">
        <v>572.86274720576807</v>
      </c>
      <c r="T107" s="19">
        <v>2281.5715</v>
      </c>
    </row>
    <row r="108" spans="1:20">
      <c r="A108" s="13" t="s">
        <v>23</v>
      </c>
      <c r="B108" t="s">
        <v>12</v>
      </c>
      <c r="C108" t="s">
        <v>234</v>
      </c>
      <c r="D108" t="s">
        <v>235</v>
      </c>
      <c r="E108" s="15">
        <v>712.2002</v>
      </c>
      <c r="F108" s="5">
        <v>778</v>
      </c>
      <c r="G108" s="5">
        <v>22</v>
      </c>
      <c r="H108" s="5">
        <v>10.5</v>
      </c>
      <c r="I108" s="5">
        <f ca="1">Table2[[#This Row],[P.t(mb)]]-36</f>
        <v>781</v>
      </c>
      <c r="J108" s="5">
        <v>23.5</v>
      </c>
      <c r="K108" s="5">
        <v>13</v>
      </c>
      <c r="L108">
        <v>25.67378709383134</v>
      </c>
      <c r="M108">
        <v>33.014845302023318</v>
      </c>
      <c r="N108">
        <v>74.196419152521997</v>
      </c>
      <c r="O108">
        <v>712.25304270455968</v>
      </c>
      <c r="P108">
        <v>5.2842704559709998E-2</v>
      </c>
      <c r="S108">
        <v>711.86186980187574</v>
      </c>
      <c r="T108" s="19">
        <v>2281.5715</v>
      </c>
    </row>
    <row r="109" spans="1:20">
      <c r="A109" s="13" t="s">
        <v>23</v>
      </c>
      <c r="B109" t="s">
        <v>15</v>
      </c>
      <c r="C109" t="s">
        <v>236</v>
      </c>
      <c r="D109" t="s">
        <v>237</v>
      </c>
      <c r="E109" s="15">
        <v>95.6768</v>
      </c>
      <c r="F109" s="5">
        <v>778</v>
      </c>
      <c r="G109" s="5">
        <v>22</v>
      </c>
      <c r="H109" s="5">
        <v>10.5</v>
      </c>
      <c r="I109" s="5">
        <f ca="1">Table2[[#This Row],[P.t(mb)]]-36</f>
        <v>778</v>
      </c>
      <c r="J109" s="5">
        <v>22.5</v>
      </c>
      <c r="K109" s="5">
        <v>12</v>
      </c>
      <c r="L109">
        <v>25.67378709383134</v>
      </c>
      <c r="M109">
        <v>31.66108964942044</v>
      </c>
      <c r="N109">
        <v>74.230669709508874</v>
      </c>
      <c r="O109">
        <v>95.683902152939666</v>
      </c>
      <c r="P109">
        <v>7.1021529396627387E-3</v>
      </c>
      <c r="S109">
        <v>95.569835315976746</v>
      </c>
      <c r="T109" s="19">
        <v>2281.5715</v>
      </c>
    </row>
    <row r="110" spans="1:20">
      <c r="A110" s="13" t="s">
        <v>23</v>
      </c>
      <c r="B110" t="s">
        <v>118</v>
      </c>
      <c r="C110" t="s">
        <v>238</v>
      </c>
      <c r="D110" t="s">
        <v>239</v>
      </c>
      <c r="E110" s="15">
        <v>289.3947</v>
      </c>
      <c r="F110" s="5">
        <v>775</v>
      </c>
      <c r="G110" s="5">
        <v>22</v>
      </c>
      <c r="H110" s="5">
        <v>10</v>
      </c>
      <c r="I110" s="5">
        <f ca="1">Table2[[#This Row],[P.t(mb)]]-36</f>
        <v>778</v>
      </c>
      <c r="J110" s="5">
        <v>23</v>
      </c>
      <c r="K110" s="5">
        <v>11</v>
      </c>
      <c r="L110">
        <v>23.213266721570658</v>
      </c>
      <c r="M110">
        <v>24.773699973433391</v>
      </c>
      <c r="N110">
        <v>74.77515048390336</v>
      </c>
      <c r="O110">
        <v>289.41633953224181</v>
      </c>
      <c r="P110">
        <v>2.1639532241744069E-2</v>
      </c>
      <c r="S110">
        <v>289.33556187282522</v>
      </c>
      <c r="T110" s="19">
        <v>2281.5715</v>
      </c>
    </row>
    <row r="111" spans="1:20">
      <c r="A111" s="13" t="s">
        <v>23</v>
      </c>
      <c r="B111" t="s">
        <v>121</v>
      </c>
      <c r="C111" t="s">
        <v>240</v>
      </c>
      <c r="D111" t="s">
        <v>241</v>
      </c>
      <c r="E111" s="15">
        <v>194.0616</v>
      </c>
      <c r="F111" s="5">
        <v>775</v>
      </c>
      <c r="G111" s="5">
        <v>22</v>
      </c>
      <c r="H111" s="5">
        <v>10</v>
      </c>
      <c r="I111" s="5">
        <f ca="1">Table2[[#This Row],[P.t(mb)]]-36</f>
        <v>778</v>
      </c>
      <c r="J111" s="5">
        <v>23</v>
      </c>
      <c r="K111" s="5">
        <v>11</v>
      </c>
      <c r="L111">
        <v>23.213266721570658</v>
      </c>
      <c r="M111">
        <v>24.773699973433391</v>
      </c>
      <c r="N111">
        <v>74.77515048390336</v>
      </c>
      <c r="O111">
        <v>194.07611098534309</v>
      </c>
      <c r="P111">
        <v>1.451098534314706E-2</v>
      </c>
      <c r="S111">
        <v>193.95706055049811</v>
      </c>
      <c r="T111" s="19">
        <v>2281.5715</v>
      </c>
    </row>
    <row r="112" spans="1:20">
      <c r="A112" s="13" t="s">
        <v>23</v>
      </c>
      <c r="B112" t="s">
        <v>91</v>
      </c>
      <c r="C112" t="s">
        <v>242</v>
      </c>
      <c r="D112" t="s">
        <v>243</v>
      </c>
      <c r="E112" s="15">
        <v>86.239000000000004</v>
      </c>
      <c r="F112" s="5">
        <v>775</v>
      </c>
      <c r="G112" s="5">
        <v>22</v>
      </c>
      <c r="H112" s="5">
        <v>10</v>
      </c>
      <c r="I112" s="5">
        <f ca="1">Table2[[#This Row],[P.t(mb)]]-36</f>
        <v>778</v>
      </c>
      <c r="J112" s="5">
        <v>23</v>
      </c>
      <c r="K112" s="5">
        <v>11</v>
      </c>
      <c r="L112">
        <v>23.213266721570658</v>
      </c>
      <c r="M112">
        <v>24.773699973433391</v>
      </c>
      <c r="N112">
        <v>74.77515048390336</v>
      </c>
      <c r="O112">
        <v>86.245448534202581</v>
      </c>
      <c r="P112">
        <v>6.448534202581342E-3</v>
      </c>
      <c r="S112">
        <v>85.978856860016222</v>
      </c>
      <c r="T112" s="19">
        <v>2281.5715</v>
      </c>
    </row>
    <row r="113" spans="1:20">
      <c r="A113" s="13" t="s">
        <v>23</v>
      </c>
      <c r="B113" t="s">
        <v>43</v>
      </c>
      <c r="C113" t="s">
        <v>244</v>
      </c>
      <c r="D113" t="s">
        <v>245</v>
      </c>
      <c r="E113" s="15">
        <v>384.3734</v>
      </c>
      <c r="F113" s="5">
        <v>775</v>
      </c>
      <c r="G113" s="5">
        <v>22</v>
      </c>
      <c r="H113" s="5">
        <v>10</v>
      </c>
      <c r="I113" s="5">
        <f ca="1">Table2[[#This Row],[P.t(mb)]]-36</f>
        <v>778</v>
      </c>
      <c r="J113" s="5">
        <v>23</v>
      </c>
      <c r="K113" s="5">
        <v>11</v>
      </c>
      <c r="L113">
        <v>23.213266721570658</v>
      </c>
      <c r="M113">
        <v>24.773699973433391</v>
      </c>
      <c r="N113">
        <v>74.77515048390336</v>
      </c>
      <c r="O113">
        <v>384.40214157882701</v>
      </c>
      <c r="P113">
        <v>2.8741578827009579E-2</v>
      </c>
      <c r="S113">
        <v>384.34163771672178</v>
      </c>
      <c r="T113" s="19">
        <v>2281.5715</v>
      </c>
    </row>
    <row r="114" spans="1:20">
      <c r="A114" s="13" t="s">
        <v>23</v>
      </c>
      <c r="B114" t="s">
        <v>46</v>
      </c>
      <c r="C114" t="s">
        <v>246</v>
      </c>
      <c r="D114" t="s">
        <v>247</v>
      </c>
      <c r="E114" s="15">
        <v>285.9504</v>
      </c>
      <c r="F114" s="5">
        <v>775</v>
      </c>
      <c r="G114" s="5">
        <v>22</v>
      </c>
      <c r="H114" s="5">
        <v>10</v>
      </c>
      <c r="I114" s="5">
        <f ca="1">Table2[[#This Row],[P.t(mb)]]-36</f>
        <v>778</v>
      </c>
      <c r="J114" s="5">
        <v>23</v>
      </c>
      <c r="K114" s="5">
        <v>11</v>
      </c>
      <c r="L114">
        <v>23.213266721570658</v>
      </c>
      <c r="M114">
        <v>24.773699973433391</v>
      </c>
      <c r="N114">
        <v>74.77515048390336</v>
      </c>
      <c r="O114">
        <v>285.97178198419101</v>
      </c>
      <c r="P114">
        <v>2.138198419093236E-2</v>
      </c>
      <c r="S114">
        <v>285.89075067892418</v>
      </c>
      <c r="T114" s="19">
        <v>2281.5715</v>
      </c>
    </row>
    <row r="115" spans="1:20">
      <c r="A115" s="13" t="s">
        <v>23</v>
      </c>
      <c r="B115" t="s">
        <v>55</v>
      </c>
      <c r="C115" t="s">
        <v>248</v>
      </c>
      <c r="D115" t="s">
        <v>249</v>
      </c>
      <c r="E115" s="15">
        <v>189.7628</v>
      </c>
      <c r="F115" s="5">
        <v>775</v>
      </c>
      <c r="G115" s="5">
        <v>22</v>
      </c>
      <c r="H115" s="5">
        <v>10</v>
      </c>
      <c r="I115" s="5">
        <f ca="1">Table2[[#This Row],[P.t(mb)]]-36</f>
        <v>778</v>
      </c>
      <c r="J115" s="5">
        <v>23.5</v>
      </c>
      <c r="K115" s="5">
        <v>10</v>
      </c>
      <c r="L115">
        <v>23.213266721570658</v>
      </c>
      <c r="M115">
        <v>18.44730391146307</v>
      </c>
      <c r="N115">
        <v>74.924378976788631</v>
      </c>
      <c r="O115">
        <v>189.7770178599429</v>
      </c>
      <c r="P115">
        <v>1.421785994289655E-2</v>
      </c>
      <c r="S115">
        <v>189.65516902174849</v>
      </c>
      <c r="T115" s="19">
        <v>2281.5715</v>
      </c>
    </row>
    <row r="116" spans="1:20">
      <c r="A116" s="13" t="s">
        <v>23</v>
      </c>
      <c r="B116" t="s">
        <v>49</v>
      </c>
      <c r="C116" t="s">
        <v>250</v>
      </c>
      <c r="D116" t="s">
        <v>251</v>
      </c>
      <c r="E116" s="15">
        <v>76.014399999999995</v>
      </c>
      <c r="F116" s="5">
        <v>775</v>
      </c>
      <c r="G116" s="5">
        <v>22</v>
      </c>
      <c r="H116" s="5">
        <v>10</v>
      </c>
      <c r="I116" s="5">
        <f ca="1">Table2[[#This Row],[P.t(mb)]]-36</f>
        <v>778</v>
      </c>
      <c r="J116" s="5">
        <v>23.5</v>
      </c>
      <c r="K116" s="5">
        <v>10</v>
      </c>
      <c r="L116">
        <v>23.213266721570658</v>
      </c>
      <c r="M116">
        <v>18.44730391146307</v>
      </c>
      <c r="N116">
        <v>74.924378976788631</v>
      </c>
      <c r="O116">
        <v>76.020095331713293</v>
      </c>
      <c r="P116">
        <v>5.6953317132932019E-3</v>
      </c>
      <c r="S116">
        <v>75.717303455566039</v>
      </c>
      <c r="T116" s="19">
        <v>2281.5715</v>
      </c>
    </row>
    <row r="117" spans="1:20">
      <c r="A117" s="8" t="s">
        <v>26</v>
      </c>
      <c r="B117" s="1" t="s">
        <v>15</v>
      </c>
      <c r="C117" t="s">
        <v>372</v>
      </c>
      <c r="D117" t="s">
        <v>285</v>
      </c>
      <c r="E117" s="15">
        <v>264.46820000000002</v>
      </c>
      <c r="F117" s="5">
        <v>779</v>
      </c>
      <c r="G117" s="5">
        <v>19</v>
      </c>
      <c r="H117" s="5">
        <v>11</v>
      </c>
      <c r="I117" s="5">
        <f ca="1">Table2[[#This Row],[P.t(mb)]]-36</f>
        <v>778</v>
      </c>
      <c r="J117" s="5">
        <v>20</v>
      </c>
      <c r="K117" s="5">
        <v>12</v>
      </c>
      <c r="L117">
        <v>41.0173096276039</v>
      </c>
      <c r="M117">
        <v>42.407362302890711</v>
      </c>
      <c r="N117">
        <v>72.167457596437231</v>
      </c>
      <c r="O117">
        <v>264.48728599760909</v>
      </c>
      <c r="P117">
        <v>1.9085997609106078E-2</v>
      </c>
      <c r="S117">
        <v>264.4232294448417</v>
      </c>
      <c r="T117" s="19">
        <v>2280.4320899999998</v>
      </c>
    </row>
    <row r="118" spans="1:20">
      <c r="A118" s="8" t="s">
        <v>26</v>
      </c>
      <c r="B118" t="s">
        <v>22</v>
      </c>
      <c r="C118" t="s">
        <v>253</v>
      </c>
      <c r="D118" t="s">
        <v>254</v>
      </c>
      <c r="E118" s="15">
        <v>326.0772</v>
      </c>
      <c r="F118" s="5">
        <v>779</v>
      </c>
      <c r="G118" s="5">
        <v>19</v>
      </c>
      <c r="H118" s="5">
        <v>11</v>
      </c>
      <c r="I118" s="5">
        <f ca="1">Table2[[#This Row],[P.t(mb)]]-36</f>
        <v>779</v>
      </c>
      <c r="J118" s="5">
        <v>20.5</v>
      </c>
      <c r="K118" s="5">
        <v>12</v>
      </c>
      <c r="L118">
        <v>41.0173096276039</v>
      </c>
      <c r="M118">
        <v>40.027360275541483</v>
      </c>
      <c r="N118">
        <v>72.207741533154064</v>
      </c>
      <c r="O118">
        <v>326.10074529817751</v>
      </c>
      <c r="P118">
        <v>2.3545298177454582E-2</v>
      </c>
      <c r="S118">
        <v>326.06122871556579</v>
      </c>
      <c r="T118" s="19">
        <v>2280.4320899999998</v>
      </c>
    </row>
    <row r="119" spans="1:20">
      <c r="A119" s="8" t="s">
        <v>26</v>
      </c>
      <c r="B119" t="s">
        <v>0</v>
      </c>
      <c r="C119" t="s">
        <v>255</v>
      </c>
      <c r="D119" t="s">
        <v>256</v>
      </c>
      <c r="E119" s="15">
        <v>621.37490000000003</v>
      </c>
      <c r="F119" s="5">
        <v>779</v>
      </c>
      <c r="G119" s="5">
        <v>19</v>
      </c>
      <c r="H119" s="5">
        <v>11</v>
      </c>
      <c r="I119" s="5">
        <f ca="1">Table2[[#This Row],[P.t(mb)]]-36</f>
        <v>779</v>
      </c>
      <c r="J119" s="5">
        <v>21</v>
      </c>
      <c r="K119" s="5">
        <v>11</v>
      </c>
      <c r="L119">
        <v>41.0173096276039</v>
      </c>
      <c r="M119">
        <v>32.098042254849773</v>
      </c>
      <c r="N119">
        <v>72.360328745457053</v>
      </c>
      <c r="O119">
        <v>621.41986289203817</v>
      </c>
      <c r="P119">
        <v>4.4962892038175502E-2</v>
      </c>
      <c r="S119">
        <v>621.40085119449441</v>
      </c>
      <c r="T119" s="19">
        <v>2280.4320899999998</v>
      </c>
    </row>
    <row r="120" spans="1:20">
      <c r="A120" s="8" t="s">
        <v>26</v>
      </c>
      <c r="B120" t="s">
        <v>9</v>
      </c>
      <c r="C120" t="s">
        <v>257</v>
      </c>
      <c r="D120" t="s">
        <v>258</v>
      </c>
      <c r="E120" s="15">
        <v>475.42660000000001</v>
      </c>
      <c r="F120" s="5">
        <v>779</v>
      </c>
      <c r="G120" s="5">
        <v>19</v>
      </c>
      <c r="H120" s="5">
        <v>11</v>
      </c>
      <c r="I120" s="5">
        <f ca="1">Table2[[#This Row],[P.t(mb)]]-36</f>
        <v>779</v>
      </c>
      <c r="J120" s="5">
        <v>21</v>
      </c>
      <c r="K120" s="5">
        <v>11</v>
      </c>
      <c r="L120">
        <v>41.0173096276039</v>
      </c>
      <c r="M120">
        <v>32.098042254849773</v>
      </c>
      <c r="N120">
        <v>72.360328745457053</v>
      </c>
      <c r="O120">
        <v>475.46100202507029</v>
      </c>
      <c r="P120">
        <v>3.4402025070334907E-2</v>
      </c>
      <c r="S120">
        <v>474.78789319208357</v>
      </c>
      <c r="T120" s="19">
        <v>2280.4320899999998</v>
      </c>
    </row>
    <row r="121" spans="1:20">
      <c r="A121" s="8" t="s">
        <v>26</v>
      </c>
      <c r="B121" t="s">
        <v>23</v>
      </c>
      <c r="C121" t="s">
        <v>259</v>
      </c>
      <c r="D121" t="s">
        <v>260</v>
      </c>
      <c r="E121" s="15">
        <v>169.49430000000001</v>
      </c>
      <c r="F121" s="5">
        <v>779</v>
      </c>
      <c r="G121" s="5">
        <v>19</v>
      </c>
      <c r="H121" s="5">
        <v>11</v>
      </c>
      <c r="I121" s="5">
        <f ca="1">Table2[[#This Row],[P.t(mb)]]-36</f>
        <v>781</v>
      </c>
      <c r="J121" s="5">
        <v>20</v>
      </c>
      <c r="K121" s="5">
        <v>12</v>
      </c>
      <c r="L121">
        <v>41.0173096276039</v>
      </c>
      <c r="M121">
        <v>42.339455130581662</v>
      </c>
      <c r="N121">
        <v>71.75379620052658</v>
      </c>
      <c r="O121">
        <v>169.50646185945939</v>
      </c>
      <c r="P121">
        <v>1.216185945935091E-2</v>
      </c>
      <c r="S121">
        <v>169.5025783616486</v>
      </c>
      <c r="T121" s="19">
        <v>2280.4320899999998</v>
      </c>
    </row>
    <row r="122" spans="1:20">
      <c r="A122" s="8" t="s">
        <v>26</v>
      </c>
      <c r="B122" t="s">
        <v>16</v>
      </c>
      <c r="C122" t="s">
        <v>261</v>
      </c>
      <c r="D122" t="s">
        <v>262</v>
      </c>
      <c r="E122" s="15">
        <v>203.04949999999999</v>
      </c>
      <c r="F122" s="5">
        <v>779</v>
      </c>
      <c r="G122" s="5">
        <v>19</v>
      </c>
      <c r="H122" s="5">
        <v>11</v>
      </c>
      <c r="I122" s="5">
        <f ca="1">Table2[[#This Row],[P.t(mb)]]-36</f>
        <v>778</v>
      </c>
      <c r="J122" s="5">
        <v>20</v>
      </c>
      <c r="K122" s="5">
        <v>12</v>
      </c>
      <c r="L122">
        <v>41.0173096276039</v>
      </c>
      <c r="M122">
        <v>42.407362302890711</v>
      </c>
      <c r="N122">
        <v>72.167457596437231</v>
      </c>
      <c r="O122">
        <v>203.0641535661812</v>
      </c>
      <c r="P122">
        <v>1.4653566181227781E-2</v>
      </c>
      <c r="S122">
        <v>201.74272812517441</v>
      </c>
      <c r="T122" s="19">
        <v>2280.4320899999998</v>
      </c>
    </row>
    <row r="123" spans="1:20">
      <c r="A123" s="8" t="s">
        <v>26</v>
      </c>
      <c r="B123" t="s">
        <v>19</v>
      </c>
      <c r="C123" t="s">
        <v>263</v>
      </c>
      <c r="D123" t="s">
        <v>264</v>
      </c>
      <c r="E123" s="15">
        <v>100.99769999999999</v>
      </c>
      <c r="F123" s="5">
        <v>779</v>
      </c>
      <c r="G123" s="5">
        <v>19</v>
      </c>
      <c r="H123" s="5">
        <v>11</v>
      </c>
      <c r="I123" s="5">
        <f ca="1">Table2[[#This Row],[P.t(mb)]]-36</f>
        <v>781</v>
      </c>
      <c r="J123" s="5">
        <v>20</v>
      </c>
      <c r="K123" s="5">
        <v>12</v>
      </c>
      <c r="L123">
        <v>41.0173096276039</v>
      </c>
      <c r="M123">
        <v>42.339455130581662</v>
      </c>
      <c r="N123">
        <v>71.75379620052658</v>
      </c>
      <c r="O123">
        <v>101.0049469683825</v>
      </c>
      <c r="P123">
        <v>7.2469683825219233E-3</v>
      </c>
      <c r="S123">
        <v>99.592961504903812</v>
      </c>
      <c r="T123" s="19">
        <v>2280.4320899999998</v>
      </c>
    </row>
    <row r="124" spans="1:20">
      <c r="A124" s="8" t="s">
        <v>26</v>
      </c>
      <c r="B124" t="s">
        <v>121</v>
      </c>
      <c r="C124" t="s">
        <v>277</v>
      </c>
      <c r="D124" t="s">
        <v>278</v>
      </c>
      <c r="E124" s="15">
        <v>147.22479999999999</v>
      </c>
      <c r="F124" s="5">
        <v>776</v>
      </c>
      <c r="G124" s="5">
        <v>19.5</v>
      </c>
      <c r="H124" s="5">
        <v>9</v>
      </c>
      <c r="I124" s="5">
        <f ca="1">Table2[[#This Row],[P.t(mb)]]-36</f>
        <v>780</v>
      </c>
      <c r="J124" s="5">
        <v>21</v>
      </c>
      <c r="K124" s="5">
        <v>10</v>
      </c>
      <c r="L124">
        <v>26.915366169827742</v>
      </c>
      <c r="M124">
        <v>26.593135625083981</v>
      </c>
      <c r="N124">
        <v>72.733262135894819</v>
      </c>
      <c r="O124">
        <v>147.2355081399713</v>
      </c>
      <c r="P124">
        <v>1.070813997130469E-2</v>
      </c>
      <c r="S124">
        <v>147.12708676312499</v>
      </c>
      <c r="T124" s="19">
        <v>2280.4320899999998</v>
      </c>
    </row>
    <row r="125" spans="1:20">
      <c r="A125" s="8" t="s">
        <v>26</v>
      </c>
      <c r="B125" t="s">
        <v>91</v>
      </c>
      <c r="C125" t="s">
        <v>279</v>
      </c>
      <c r="D125" t="s">
        <v>280</v>
      </c>
      <c r="E125" s="15">
        <v>85.882099999999994</v>
      </c>
      <c r="F125" s="5">
        <v>776</v>
      </c>
      <c r="G125" s="5">
        <v>19.5</v>
      </c>
      <c r="H125" s="5">
        <v>9</v>
      </c>
      <c r="I125" s="5">
        <f ca="1">Table2[[#This Row],[P.t(mb)]]-36</f>
        <v>778</v>
      </c>
      <c r="J125" s="5">
        <v>21</v>
      </c>
      <c r="K125" s="5">
        <v>10</v>
      </c>
      <c r="L125">
        <v>26.915366169827742</v>
      </c>
      <c r="M125">
        <v>26.651662674570339</v>
      </c>
      <c r="N125">
        <v>73.008401253351309</v>
      </c>
      <c r="O125">
        <v>85.888370114817278</v>
      </c>
      <c r="P125">
        <v>6.2701148172804424E-3</v>
      </c>
      <c r="S125">
        <v>85.703674628401842</v>
      </c>
      <c r="T125" s="19">
        <v>2280.4320899999998</v>
      </c>
    </row>
    <row r="126" spans="1:20">
      <c r="A126" s="8" t="s">
        <v>26</v>
      </c>
      <c r="B126" t="s">
        <v>52</v>
      </c>
      <c r="C126" t="s">
        <v>265</v>
      </c>
      <c r="D126" t="s">
        <v>266</v>
      </c>
      <c r="E126" s="15">
        <v>470.80180000000001</v>
      </c>
      <c r="F126" s="5">
        <v>776</v>
      </c>
      <c r="G126" s="5">
        <v>18.5</v>
      </c>
      <c r="H126" s="5">
        <v>9</v>
      </c>
      <c r="I126" s="5">
        <f ca="1">Table2[[#This Row],[P.t(mb)]]-36</f>
        <v>778</v>
      </c>
      <c r="J126" s="5">
        <v>20</v>
      </c>
      <c r="K126" s="5">
        <v>10</v>
      </c>
      <c r="L126">
        <v>31.05741647941008</v>
      </c>
      <c r="M126">
        <v>30.54751867784265</v>
      </c>
      <c r="N126">
        <v>72.298633728363342</v>
      </c>
      <c r="O126">
        <v>470.83583832689692</v>
      </c>
      <c r="P126">
        <v>3.4038326896854168E-2</v>
      </c>
      <c r="S126">
        <v>470.7978615418557</v>
      </c>
      <c r="T126" s="19">
        <v>2280.4320899999998</v>
      </c>
    </row>
    <row r="127" spans="1:20">
      <c r="A127" s="8" t="s">
        <v>26</v>
      </c>
      <c r="B127" t="s">
        <v>40</v>
      </c>
      <c r="C127" t="s">
        <v>267</v>
      </c>
      <c r="D127" t="s">
        <v>268</v>
      </c>
      <c r="E127" s="15">
        <v>431.72789999999998</v>
      </c>
      <c r="F127" s="5">
        <v>776</v>
      </c>
      <c r="G127" s="5">
        <v>18.5</v>
      </c>
      <c r="H127" s="5">
        <v>9</v>
      </c>
      <c r="I127" s="5">
        <f ca="1">Table2[[#This Row],[P.t(mb)]]-36</f>
        <v>778</v>
      </c>
      <c r="J127" s="5">
        <v>20</v>
      </c>
      <c r="K127" s="5">
        <v>10</v>
      </c>
      <c r="L127">
        <v>31.05741647941008</v>
      </c>
      <c r="M127">
        <v>30.54751867784265</v>
      </c>
      <c r="N127">
        <v>72.298633728363342</v>
      </c>
      <c r="O127">
        <v>431.75911333731239</v>
      </c>
      <c r="P127">
        <v>3.121333731241548E-2</v>
      </c>
      <c r="S127">
        <v>431.72193070991329</v>
      </c>
      <c r="T127" s="19">
        <v>2280.4320899999998</v>
      </c>
    </row>
    <row r="128" spans="1:20">
      <c r="A128" s="8" t="s">
        <v>26</v>
      </c>
      <c r="B128" t="s">
        <v>43</v>
      </c>
      <c r="C128" t="s">
        <v>269</v>
      </c>
      <c r="D128" t="s">
        <v>270</v>
      </c>
      <c r="E128" s="15">
        <v>335.23559999999998</v>
      </c>
      <c r="F128" s="5">
        <v>776</v>
      </c>
      <c r="G128" s="5">
        <v>18.5</v>
      </c>
      <c r="H128" s="5">
        <v>9</v>
      </c>
      <c r="I128" s="5">
        <f ca="1">Table2[[#This Row],[P.t(mb)]]-36</f>
        <v>778</v>
      </c>
      <c r="J128" s="5">
        <v>20</v>
      </c>
      <c r="K128" s="5">
        <v>10</v>
      </c>
      <c r="L128">
        <v>31.05741647941008</v>
      </c>
      <c r="M128">
        <v>30.54751867784265</v>
      </c>
      <c r="N128">
        <v>72.298633728363342</v>
      </c>
      <c r="O128">
        <v>335.25983707585709</v>
      </c>
      <c r="P128">
        <v>2.4237075857108121E-2</v>
      </c>
      <c r="S128">
        <v>335.21180721724357</v>
      </c>
      <c r="T128" s="19">
        <v>2280.4320899999998</v>
      </c>
    </row>
    <row r="129" spans="1:20">
      <c r="A129" s="8" t="s">
        <v>26</v>
      </c>
      <c r="B129" t="s">
        <v>46</v>
      </c>
      <c r="C129" t="s">
        <v>271</v>
      </c>
      <c r="D129" t="s">
        <v>272</v>
      </c>
      <c r="E129" s="15">
        <v>240.81960000000001</v>
      </c>
      <c r="F129" s="5">
        <v>776</v>
      </c>
      <c r="G129" s="5">
        <v>18.5</v>
      </c>
      <c r="H129" s="5">
        <v>9</v>
      </c>
      <c r="I129" s="5">
        <f ca="1">Table2[[#This Row],[P.t(mb)]]-36</f>
        <v>778</v>
      </c>
      <c r="J129" s="5">
        <v>20</v>
      </c>
      <c r="K129" s="5">
        <v>10</v>
      </c>
      <c r="L129">
        <v>31.05741647941008</v>
      </c>
      <c r="M129">
        <v>30.54751867784265</v>
      </c>
      <c r="N129">
        <v>72.298633728363342</v>
      </c>
      <c r="O129">
        <v>240.83701092805501</v>
      </c>
      <c r="P129">
        <v>1.7410928055010971E-2</v>
      </c>
      <c r="S129">
        <v>240.7706832137946</v>
      </c>
      <c r="T129" s="19">
        <v>2280.4320899999998</v>
      </c>
    </row>
    <row r="130" spans="1:20">
      <c r="A130" s="8" t="s">
        <v>26</v>
      </c>
      <c r="B130" t="s">
        <v>55</v>
      </c>
      <c r="C130" t="s">
        <v>273</v>
      </c>
      <c r="D130" t="s">
        <v>274</v>
      </c>
      <c r="E130" s="15">
        <v>154.435</v>
      </c>
      <c r="F130" s="5">
        <v>776</v>
      </c>
      <c r="G130" s="5">
        <v>18.5</v>
      </c>
      <c r="H130" s="5">
        <v>9</v>
      </c>
      <c r="I130" s="5">
        <f ca="1">Table2[[#This Row],[P.t(mb)]]-36</f>
        <v>778</v>
      </c>
      <c r="J130" s="5">
        <v>20</v>
      </c>
      <c r="K130" s="5">
        <v>10</v>
      </c>
      <c r="L130">
        <v>31.05741647941008</v>
      </c>
      <c r="M130">
        <v>30.54751867784265</v>
      </c>
      <c r="N130">
        <v>72.298633728363342</v>
      </c>
      <c r="O130">
        <v>154.44616543949991</v>
      </c>
      <c r="P130">
        <v>1.116543949983979E-2</v>
      </c>
      <c r="S130">
        <v>154.34272344071891</v>
      </c>
      <c r="T130" s="19">
        <v>2280.4320899999998</v>
      </c>
    </row>
    <row r="131" spans="1:20">
      <c r="A131" s="8" t="s">
        <v>26</v>
      </c>
      <c r="B131" t="s">
        <v>49</v>
      </c>
      <c r="C131" t="s">
        <v>275</v>
      </c>
      <c r="D131" t="s">
        <v>276</v>
      </c>
      <c r="E131" s="15">
        <v>97.699100000000001</v>
      </c>
      <c r="F131" s="5">
        <v>776</v>
      </c>
      <c r="G131" s="5">
        <v>18.5</v>
      </c>
      <c r="H131" s="5">
        <v>9</v>
      </c>
      <c r="I131" s="5">
        <f ca="1">Table2[[#This Row],[P.t(mb)]]-36</f>
        <v>778</v>
      </c>
      <c r="J131" s="5">
        <v>20</v>
      </c>
      <c r="K131" s="5">
        <v>10</v>
      </c>
      <c r="L131">
        <v>31.05741647941008</v>
      </c>
      <c r="M131">
        <v>30.54751867784265</v>
      </c>
      <c r="N131">
        <v>72.298633728363342</v>
      </c>
      <c r="O131">
        <v>97.706163511446491</v>
      </c>
      <c r="P131">
        <v>7.0635114464907434E-3</v>
      </c>
      <c r="S131">
        <v>97.543738902396697</v>
      </c>
      <c r="T131" s="19">
        <v>2280.4320899999998</v>
      </c>
    </row>
    <row r="132" spans="1:20">
      <c r="A132" s="14" t="s">
        <v>26</v>
      </c>
      <c r="B132" s="5" t="s">
        <v>34</v>
      </c>
      <c r="C132" s="5" t="s">
        <v>281</v>
      </c>
      <c r="D132" t="s">
        <v>282</v>
      </c>
      <c r="E132" s="15">
        <v>604.41790000000003</v>
      </c>
      <c r="F132" s="5">
        <v>776</v>
      </c>
      <c r="G132" s="5">
        <v>19.5</v>
      </c>
      <c r="H132" s="5">
        <v>9</v>
      </c>
      <c r="I132" s="5">
        <v>781</v>
      </c>
      <c r="J132" s="5">
        <v>21</v>
      </c>
      <c r="K132" s="5">
        <v>10</v>
      </c>
      <c r="L132">
        <v>26.915366169827742</v>
      </c>
      <c r="M132">
        <v>26.563872100340809</v>
      </c>
      <c r="N132">
        <v>72.595692577166574</v>
      </c>
      <c r="O132">
        <v>604.46177813605652</v>
      </c>
      <c r="P132">
        <v>4.3878136056536607E-2</v>
      </c>
      <c r="S132">
        <v>603.95587745145508</v>
      </c>
      <c r="T132" s="19">
        <v>2280.4320899999998</v>
      </c>
    </row>
    <row r="133" spans="1:20">
      <c r="A133" s="14" t="s">
        <v>26</v>
      </c>
      <c r="B133" s="5" t="s">
        <v>37</v>
      </c>
      <c r="C133" s="5" t="s">
        <v>283</v>
      </c>
      <c r="D133" t="s">
        <v>284</v>
      </c>
      <c r="E133" s="15">
        <v>528.15260000000001</v>
      </c>
      <c r="F133" s="5">
        <v>776</v>
      </c>
      <c r="G133" s="5">
        <v>19.5</v>
      </c>
      <c r="H133" s="5">
        <v>9</v>
      </c>
      <c r="I133" s="5">
        <v>778</v>
      </c>
      <c r="J133" s="5">
        <v>21</v>
      </c>
      <c r="K133" s="5">
        <v>10</v>
      </c>
      <c r="L133">
        <v>26.915366169827742</v>
      </c>
      <c r="M133">
        <v>26.651662674570339</v>
      </c>
      <c r="N133">
        <v>73.008401253351309</v>
      </c>
      <c r="O133">
        <v>528.19115957694385</v>
      </c>
      <c r="P133">
        <v>3.8559576943800751E-2</v>
      </c>
      <c r="S133">
        <v>528.19010196781858</v>
      </c>
      <c r="T133" s="19">
        <v>2280.4320899999998</v>
      </c>
    </row>
    <row r="134" spans="1:20">
      <c r="A134" s="9" t="s">
        <v>16</v>
      </c>
      <c r="B134" s="1" t="s">
        <v>19</v>
      </c>
      <c r="C134" t="s">
        <v>372</v>
      </c>
      <c r="D134" t="s">
        <v>345</v>
      </c>
      <c r="E134" s="15">
        <v>200.511</v>
      </c>
      <c r="F134" s="5">
        <v>774</v>
      </c>
      <c r="G134" s="5">
        <v>24</v>
      </c>
      <c r="H134" s="5">
        <v>11</v>
      </c>
      <c r="I134" s="5">
        <v>773</v>
      </c>
      <c r="J134" s="5">
        <v>24</v>
      </c>
      <c r="K134" s="5">
        <v>11</v>
      </c>
      <c r="L134">
        <v>21.715120306023412</v>
      </c>
      <c r="M134">
        <v>21.743945256049098</v>
      </c>
      <c r="N134">
        <v>76.655217757622012</v>
      </c>
      <c r="O134">
        <v>200.5263702143678</v>
      </c>
      <c r="P134">
        <v>1.537021436779855E-2</v>
      </c>
      <c r="S134">
        <v>200.4274619835351</v>
      </c>
      <c r="T134" s="19">
        <v>2257.3000000000002</v>
      </c>
    </row>
    <row r="135" spans="1:20">
      <c r="A135" s="9" t="s">
        <v>16</v>
      </c>
      <c r="B135" t="s">
        <v>22</v>
      </c>
      <c r="C135" t="s">
        <v>286</v>
      </c>
      <c r="D135" t="s">
        <v>287</v>
      </c>
      <c r="E135" s="15">
        <v>407.6266</v>
      </c>
      <c r="F135" s="5">
        <v>774</v>
      </c>
      <c r="G135" s="5">
        <v>24</v>
      </c>
      <c r="H135" s="5">
        <v>11</v>
      </c>
      <c r="I135" s="5">
        <v>778</v>
      </c>
      <c r="J135" s="5">
        <v>26</v>
      </c>
      <c r="K135" s="5">
        <v>11.5</v>
      </c>
      <c r="L135">
        <v>21.715120306023412</v>
      </c>
      <c r="M135">
        <v>18.191445551275478</v>
      </c>
      <c r="N135">
        <v>76.676106334540066</v>
      </c>
      <c r="O135">
        <v>407.65785522052641</v>
      </c>
      <c r="P135">
        <v>3.1255220526387018E-2</v>
      </c>
      <c r="S135">
        <v>407.25808752954788</v>
      </c>
      <c r="T135" s="19">
        <v>2257.3000000000002</v>
      </c>
    </row>
    <row r="136" spans="1:20">
      <c r="A136" s="9" t="s">
        <v>16</v>
      </c>
      <c r="B136" t="s">
        <v>3</v>
      </c>
      <c r="C136" t="s">
        <v>288</v>
      </c>
      <c r="D136" t="s">
        <v>289</v>
      </c>
      <c r="E136" s="15">
        <v>587.2414</v>
      </c>
      <c r="F136" s="5">
        <v>774</v>
      </c>
      <c r="G136" s="5">
        <v>24</v>
      </c>
      <c r="H136" s="5">
        <v>11</v>
      </c>
      <c r="I136" s="5">
        <f ca="1">Table2[[#This Row],[P.t(mb)]]-36</f>
        <v>781</v>
      </c>
      <c r="J136" s="5">
        <v>25</v>
      </c>
      <c r="K136" s="5">
        <v>10</v>
      </c>
      <c r="L136">
        <v>21.715120306023412</v>
      </c>
      <c r="M136">
        <v>14.330128143140181</v>
      </c>
      <c r="N136">
        <v>75.887989481226555</v>
      </c>
      <c r="O136">
        <v>587.28596456918615</v>
      </c>
      <c r="P136">
        <v>4.4564569186140747E-2</v>
      </c>
      <c r="S136">
        <v>586.84648252363183</v>
      </c>
      <c r="T136" s="19">
        <v>2257.3000000000002</v>
      </c>
    </row>
    <row r="137" spans="1:20">
      <c r="A137" s="9" t="s">
        <v>16</v>
      </c>
      <c r="B137" t="s">
        <v>6</v>
      </c>
      <c r="C137" t="s">
        <v>290</v>
      </c>
      <c r="D137" t="s">
        <v>291</v>
      </c>
      <c r="E137" s="15">
        <v>545.91809999999998</v>
      </c>
      <c r="F137" s="5">
        <v>774</v>
      </c>
      <c r="G137" s="5">
        <v>24</v>
      </c>
      <c r="H137" s="5">
        <v>11</v>
      </c>
      <c r="I137" s="5">
        <f ca="1">Table2[[#This Row],[P.t(mb)]]-36</f>
        <v>782</v>
      </c>
      <c r="J137" s="5">
        <v>25</v>
      </c>
      <c r="K137" s="5">
        <v>10</v>
      </c>
      <c r="L137">
        <v>21.715120306023412</v>
      </c>
      <c r="M137">
        <v>14.29879959349177</v>
      </c>
      <c r="N137">
        <v>75.752333441150398</v>
      </c>
      <c r="O137">
        <v>545.95945456994275</v>
      </c>
      <c r="P137">
        <v>4.1354569942759288E-2</v>
      </c>
      <c r="S137">
        <v>545.67815371395966</v>
      </c>
      <c r="T137" s="19">
        <v>2257.3000000000002</v>
      </c>
    </row>
    <row r="138" spans="1:20">
      <c r="A138" s="9" t="s">
        <v>16</v>
      </c>
      <c r="B138" t="s">
        <v>9</v>
      </c>
      <c r="C138" t="s">
        <v>292</v>
      </c>
      <c r="D138" t="s">
        <v>293</v>
      </c>
      <c r="E138" s="15">
        <v>461.80970000000002</v>
      </c>
      <c r="F138" s="5">
        <v>774</v>
      </c>
      <c r="G138" s="5">
        <v>24</v>
      </c>
      <c r="H138" s="5">
        <v>11</v>
      </c>
      <c r="I138" s="5">
        <f ca="1">Table2[[#This Row],[P.t(mb)]]-36</f>
        <v>783</v>
      </c>
      <c r="J138" s="5">
        <v>25</v>
      </c>
      <c r="K138" s="5">
        <v>10</v>
      </c>
      <c r="L138">
        <v>21.715120306023412</v>
      </c>
      <c r="M138">
        <v>14.26747104384336</v>
      </c>
      <c r="N138">
        <v>75.616677401074185</v>
      </c>
      <c r="O138">
        <v>461.84462051510559</v>
      </c>
      <c r="P138">
        <v>3.4920515105586851E-2</v>
      </c>
      <c r="S138">
        <v>461.83953946667373</v>
      </c>
      <c r="T138" s="19">
        <v>2257.3000000000002</v>
      </c>
    </row>
    <row r="139" spans="1:20">
      <c r="A139" s="9" t="s">
        <v>16</v>
      </c>
      <c r="B139" t="s">
        <v>12</v>
      </c>
      <c r="C139" t="s">
        <v>298</v>
      </c>
      <c r="D139" t="s">
        <v>299</v>
      </c>
      <c r="E139" s="15">
        <v>457.1386</v>
      </c>
      <c r="F139" s="5">
        <v>774</v>
      </c>
      <c r="G139" s="5">
        <v>15.5</v>
      </c>
      <c r="H139" s="5">
        <v>12</v>
      </c>
      <c r="I139" s="5">
        <f ca="1">Table2[[#This Row],[P.t(mb)]]-36</f>
        <v>783</v>
      </c>
      <c r="J139" s="5">
        <v>28</v>
      </c>
      <c r="K139" s="5">
        <v>13</v>
      </c>
      <c r="L139">
        <v>69.497632359794466</v>
      </c>
      <c r="M139">
        <v>19.083421248520349</v>
      </c>
      <c r="N139">
        <v>73.880871711997941</v>
      </c>
      <c r="O139">
        <v>457.17237379826122</v>
      </c>
      <c r="P139">
        <v>3.3773798261202352E-2</v>
      </c>
      <c r="S139">
        <v>457.17188447987138</v>
      </c>
      <c r="T139" s="19">
        <v>2257.3000000000002</v>
      </c>
    </row>
    <row r="140" spans="1:20">
      <c r="A140" s="9" t="s">
        <v>16</v>
      </c>
      <c r="B140" t="s">
        <v>26</v>
      </c>
      <c r="C140" t="s">
        <v>343</v>
      </c>
      <c r="D140" t="s">
        <v>344</v>
      </c>
      <c r="E140" s="15">
        <v>203.04939999999999</v>
      </c>
      <c r="F140" s="5">
        <v>779</v>
      </c>
      <c r="G140" s="5">
        <v>15</v>
      </c>
      <c r="H140" s="5">
        <v>9</v>
      </c>
      <c r="I140" s="5">
        <f ca="1">Table2[[#This Row],[P.t(mb)]]-36</f>
        <v>783</v>
      </c>
      <c r="J140" s="5">
        <v>16</v>
      </c>
      <c r="K140" s="5">
        <v>9</v>
      </c>
      <c r="L140">
        <v>49.242670030143032</v>
      </c>
      <c r="M140">
        <v>43.251867355256337</v>
      </c>
      <c r="N140">
        <v>68.449872819847258</v>
      </c>
      <c r="O140">
        <v>203.06329870560609</v>
      </c>
      <c r="P140">
        <v>1.389870560614629E-2</v>
      </c>
      <c r="S140">
        <v>201.74213005334019</v>
      </c>
      <c r="T140" s="19">
        <v>2257.3000000000002</v>
      </c>
    </row>
    <row r="141" spans="1:20">
      <c r="A141" s="9" t="s">
        <v>16</v>
      </c>
      <c r="B141" t="s">
        <v>29</v>
      </c>
      <c r="C141" t="s">
        <v>294</v>
      </c>
      <c r="D141" t="s">
        <v>295</v>
      </c>
      <c r="E141" s="15">
        <v>124.2257</v>
      </c>
      <c r="F141" s="5">
        <v>774</v>
      </c>
      <c r="G141" s="5">
        <v>24</v>
      </c>
      <c r="H141" s="5">
        <v>11</v>
      </c>
      <c r="I141" s="5">
        <v>775</v>
      </c>
      <c r="J141" s="5">
        <v>24</v>
      </c>
      <c r="K141" s="5">
        <v>11</v>
      </c>
      <c r="L141">
        <v>21.715120306023412</v>
      </c>
      <c r="M141">
        <v>21.686295355997721</v>
      </c>
      <c r="N141">
        <v>76.383488247949742</v>
      </c>
      <c r="O141">
        <v>124.235188792296</v>
      </c>
      <c r="P141">
        <v>9.4887922960433298E-3</v>
      </c>
      <c r="S141">
        <v>124.08029861014801</v>
      </c>
      <c r="T141" s="19">
        <v>2257.3000000000002</v>
      </c>
    </row>
    <row r="142" spans="1:20">
      <c r="A142" s="9" t="s">
        <v>16</v>
      </c>
      <c r="B142" t="s">
        <v>58</v>
      </c>
      <c r="C142" t="s">
        <v>296</v>
      </c>
      <c r="D142" t="s">
        <v>297</v>
      </c>
      <c r="E142" s="15">
        <v>454.68150000000003</v>
      </c>
      <c r="F142" s="5">
        <v>774</v>
      </c>
      <c r="G142" s="5">
        <v>24</v>
      </c>
      <c r="H142" s="5">
        <v>11</v>
      </c>
      <c r="I142" s="5">
        <v>784</v>
      </c>
      <c r="J142" s="5">
        <v>26</v>
      </c>
      <c r="K142" s="5">
        <v>11.5</v>
      </c>
      <c r="L142">
        <v>21.715120306023412</v>
      </c>
      <c r="M142">
        <v>18.02021346481154</v>
      </c>
      <c r="N142">
        <v>75.863602172823249</v>
      </c>
      <c r="O142">
        <v>454.71599377643139</v>
      </c>
      <c r="P142">
        <v>3.4493776431342528E-2</v>
      </c>
      <c r="S142">
        <v>454.30834451112781</v>
      </c>
      <c r="T142" s="19">
        <v>2257.3000000000002</v>
      </c>
    </row>
    <row r="143" spans="1:20">
      <c r="A143" s="12" t="s">
        <v>19</v>
      </c>
      <c r="B143" s="1" t="s">
        <v>16</v>
      </c>
      <c r="C143" t="s">
        <v>372</v>
      </c>
      <c r="D143" t="s">
        <v>359</v>
      </c>
      <c r="E143" s="15">
        <v>200.51065</v>
      </c>
      <c r="F143" s="5">
        <v>784</v>
      </c>
      <c r="G143" s="5">
        <v>20.5</v>
      </c>
      <c r="H143" s="5">
        <v>10</v>
      </c>
      <c r="I143" s="5">
        <f ca="1">Table2[[#This Row],[P.t(mb)]]-36</f>
        <v>781</v>
      </c>
      <c r="J143" s="5">
        <v>21</v>
      </c>
      <c r="K143" s="5">
        <v>11</v>
      </c>
      <c r="L143">
        <v>28.378624298017591</v>
      </c>
      <c r="M143">
        <v>32.044835846225823</v>
      </c>
      <c r="N143">
        <v>71.901920046826035</v>
      </c>
      <c r="O143">
        <v>200.52506710072481</v>
      </c>
      <c r="P143">
        <v>1.441710072483712E-2</v>
      </c>
      <c r="S143">
        <v>200.42614569418609</v>
      </c>
      <c r="T143" s="19">
        <v>2263.6015000000002</v>
      </c>
    </row>
    <row r="144" spans="1:20">
      <c r="A144" s="12" t="s">
        <v>19</v>
      </c>
      <c r="B144" t="s">
        <v>22</v>
      </c>
      <c r="C144" t="s">
        <v>352</v>
      </c>
      <c r="D144" t="s">
        <v>306</v>
      </c>
      <c r="E144" s="15">
        <v>238.1525</v>
      </c>
      <c r="F144" s="5">
        <v>784</v>
      </c>
      <c r="G144" s="5">
        <v>20.5</v>
      </c>
      <c r="H144" s="5">
        <v>10</v>
      </c>
      <c r="I144" s="5">
        <f ca="1">Table2[[#This Row],[P.t(mb)]]-36</f>
        <v>781</v>
      </c>
      <c r="J144" s="5">
        <v>23</v>
      </c>
      <c r="K144" s="5">
        <v>12.5</v>
      </c>
      <c r="L144">
        <v>28.378624298017591</v>
      </c>
      <c r="M144">
        <v>32.309876512022413</v>
      </c>
      <c r="N144">
        <v>72.648261504263701</v>
      </c>
      <c r="O144">
        <v>238.1698013650979</v>
      </c>
      <c r="P144">
        <v>1.7301365097894161E-2</v>
      </c>
      <c r="S144">
        <v>237.8796684928227</v>
      </c>
      <c r="T144" s="19">
        <v>2263.6015000000002</v>
      </c>
    </row>
    <row r="145" spans="1:20">
      <c r="A145" s="12" t="s">
        <v>19</v>
      </c>
      <c r="B145" t="s">
        <v>9</v>
      </c>
      <c r="C145" t="s">
        <v>346</v>
      </c>
      <c r="D145" t="s">
        <v>300</v>
      </c>
      <c r="E145" s="15">
        <v>375.28039999999999</v>
      </c>
      <c r="F145" s="5">
        <v>784</v>
      </c>
      <c r="G145" s="5">
        <v>20.5</v>
      </c>
      <c r="H145" s="5">
        <v>10</v>
      </c>
      <c r="I145" s="5">
        <f ca="1">Table2[[#This Row],[P.t(mb)]]-36</f>
        <v>782</v>
      </c>
      <c r="J145" s="5">
        <v>22</v>
      </c>
      <c r="K145" s="5">
        <v>11.5</v>
      </c>
      <c r="L145">
        <v>28.378624298017591</v>
      </c>
      <c r="M145">
        <v>30.81204955177493</v>
      </c>
      <c r="N145">
        <v>72.132019037703117</v>
      </c>
      <c r="O145">
        <v>375.30746973295732</v>
      </c>
      <c r="P145">
        <v>2.706973295727684E-2</v>
      </c>
      <c r="S145">
        <v>375.21207324912751</v>
      </c>
      <c r="T145" s="19">
        <v>2263.6015000000002</v>
      </c>
    </row>
    <row r="146" spans="1:20">
      <c r="A146" s="12" t="s">
        <v>19</v>
      </c>
      <c r="B146" t="s">
        <v>12</v>
      </c>
      <c r="C146" t="s">
        <v>347</v>
      </c>
      <c r="D146" t="s">
        <v>301</v>
      </c>
      <c r="E146" s="15">
        <v>479.36399999999998</v>
      </c>
      <c r="F146" s="5">
        <v>784</v>
      </c>
      <c r="G146" s="5">
        <v>20.5</v>
      </c>
      <c r="H146" s="5">
        <v>10</v>
      </c>
      <c r="I146" s="5">
        <f ca="1">Table2[[#This Row],[P.t(mb)]]-36</f>
        <v>783</v>
      </c>
      <c r="J146" s="5">
        <v>22</v>
      </c>
      <c r="K146" s="5">
        <v>11.5</v>
      </c>
      <c r="L146">
        <v>28.378624298017591</v>
      </c>
      <c r="M146">
        <v>30.785773824617451</v>
      </c>
      <c r="N146">
        <v>71.994922763581627</v>
      </c>
      <c r="O146">
        <v>479.39851177415562</v>
      </c>
      <c r="P146">
        <v>3.4511774155641543E-2</v>
      </c>
      <c r="S146">
        <v>479.36549112102341</v>
      </c>
      <c r="T146" s="19">
        <v>2263.6015000000002</v>
      </c>
    </row>
    <row r="147" spans="1:20">
      <c r="A147" s="12" t="s">
        <v>19</v>
      </c>
      <c r="B147" t="s">
        <v>26</v>
      </c>
      <c r="C147" t="s">
        <v>358</v>
      </c>
      <c r="D147" t="s">
        <v>337</v>
      </c>
      <c r="E147" s="15">
        <v>100.99720000000001</v>
      </c>
      <c r="F147" s="5">
        <v>784</v>
      </c>
      <c r="G147" s="5">
        <v>23</v>
      </c>
      <c r="H147" s="5">
        <v>10.5</v>
      </c>
      <c r="I147" s="5">
        <f ca="1">Table2[[#This Row],[P.t(mb)]]-36</f>
        <v>781</v>
      </c>
      <c r="J147" s="5">
        <v>24</v>
      </c>
      <c r="K147" s="5">
        <v>10</v>
      </c>
      <c r="L147">
        <v>22.15250343641673</v>
      </c>
      <c r="M147">
        <v>16.94511324944083</v>
      </c>
      <c r="N147">
        <v>73.823778949958552</v>
      </c>
      <c r="O147">
        <v>101.00465599496739</v>
      </c>
      <c r="P147">
        <v>7.4559949673647539E-3</v>
      </c>
      <c r="S147">
        <v>99.592946888298471</v>
      </c>
      <c r="T147" s="19">
        <v>2263.6015000000002</v>
      </c>
    </row>
    <row r="148" spans="1:20">
      <c r="A148" s="12" t="s">
        <v>19</v>
      </c>
      <c r="B148" t="s">
        <v>29</v>
      </c>
      <c r="C148" t="s">
        <v>353</v>
      </c>
      <c r="D148" t="s">
        <v>338</v>
      </c>
      <c r="E148" s="15">
        <v>94.848100000000002</v>
      </c>
      <c r="F148" s="5">
        <v>784</v>
      </c>
      <c r="G148" s="5">
        <v>23</v>
      </c>
      <c r="H148" s="5">
        <v>10.5</v>
      </c>
      <c r="I148" s="5">
        <f ca="1">Table2[[#This Row],[P.t(mb)]]-36</f>
        <v>775</v>
      </c>
      <c r="J148" s="5">
        <v>24</v>
      </c>
      <c r="K148" s="5">
        <v>10</v>
      </c>
      <c r="L148">
        <v>22.15250343641673</v>
      </c>
      <c r="M148">
        <v>17.131366772683769</v>
      </c>
      <c r="N148">
        <v>74.640385584726971</v>
      </c>
      <c r="O148">
        <v>94.855179498755987</v>
      </c>
      <c r="P148">
        <v>7.0794987559787406E-3</v>
      </c>
      <c r="S148">
        <v>94.028067627312566</v>
      </c>
      <c r="T148" s="19">
        <v>2263.6015000000002</v>
      </c>
    </row>
    <row r="149" spans="1:20">
      <c r="A149" s="12" t="s">
        <v>19</v>
      </c>
      <c r="B149" t="s">
        <v>112</v>
      </c>
      <c r="C149" t="s">
        <v>348</v>
      </c>
      <c r="D149" t="s">
        <v>302</v>
      </c>
      <c r="E149" s="15">
        <v>376.03539999999998</v>
      </c>
      <c r="F149" s="5">
        <v>784</v>
      </c>
      <c r="G149" s="5">
        <v>20.5</v>
      </c>
      <c r="H149" s="5">
        <v>10</v>
      </c>
      <c r="I149" s="5">
        <f ca="1">Table2[[#This Row],[P.t(mb)]]-36</f>
        <v>781</v>
      </c>
      <c r="J149" s="5">
        <v>22</v>
      </c>
      <c r="K149" s="5">
        <v>12.5</v>
      </c>
      <c r="L149">
        <v>28.378624298017591</v>
      </c>
      <c r="M149">
        <v>36.286810969552853</v>
      </c>
      <c r="N149">
        <v>72.295439617765425</v>
      </c>
      <c r="O149">
        <v>376.06258564455482</v>
      </c>
      <c r="P149">
        <v>2.7185644554842261E-2</v>
      </c>
      <c r="S149">
        <v>375.90763442589429</v>
      </c>
      <c r="T149" s="19">
        <v>2263.6015000000002</v>
      </c>
    </row>
    <row r="150" spans="1:20">
      <c r="A150" s="12" t="s">
        <v>19</v>
      </c>
      <c r="B150" t="s">
        <v>115</v>
      </c>
      <c r="C150" t="s">
        <v>349</v>
      </c>
      <c r="D150" t="s">
        <v>303</v>
      </c>
      <c r="E150" s="15">
        <v>335.39640000000003</v>
      </c>
      <c r="F150" s="5">
        <v>784</v>
      </c>
      <c r="G150" s="5">
        <v>20.5</v>
      </c>
      <c r="H150" s="5">
        <v>10</v>
      </c>
      <c r="I150" s="5">
        <f ca="1">Table2[[#This Row],[P.t(mb)]]-36</f>
        <v>781</v>
      </c>
      <c r="J150" s="5">
        <v>22</v>
      </c>
      <c r="K150" s="5">
        <v>12.5</v>
      </c>
      <c r="L150">
        <v>28.378624298017591</v>
      </c>
      <c r="M150">
        <v>36.286810969552853</v>
      </c>
      <c r="N150">
        <v>72.295439617765425</v>
      </c>
      <c r="O150">
        <v>335.42064763018419</v>
      </c>
      <c r="P150">
        <v>2.4247630184215899E-2</v>
      </c>
      <c r="S150">
        <v>335.23548217195918</v>
      </c>
      <c r="T150" s="19">
        <v>2263.6015000000002</v>
      </c>
    </row>
    <row r="151" spans="1:20">
      <c r="A151" s="12" t="s">
        <v>19</v>
      </c>
      <c r="B151" t="s">
        <v>118</v>
      </c>
      <c r="C151" t="s">
        <v>350</v>
      </c>
      <c r="D151" t="s">
        <v>304</v>
      </c>
      <c r="E151" s="15">
        <v>157.82</v>
      </c>
      <c r="F151" s="5">
        <v>784</v>
      </c>
      <c r="G151" s="5">
        <v>20.5</v>
      </c>
      <c r="H151" s="5">
        <v>10</v>
      </c>
      <c r="I151" s="5">
        <f ca="1">Table2[[#This Row],[P.t(mb)]]-36</f>
        <v>781</v>
      </c>
      <c r="J151" s="5">
        <v>22</v>
      </c>
      <c r="K151" s="5">
        <v>12.5</v>
      </c>
      <c r="L151">
        <v>28.378624298017591</v>
      </c>
      <c r="M151">
        <v>36.286810969552853</v>
      </c>
      <c r="N151">
        <v>72.295439617765425</v>
      </c>
      <c r="O151">
        <v>157.83140966628051</v>
      </c>
      <c r="P151">
        <v>1.140966628047574E-2</v>
      </c>
      <c r="S151">
        <v>157.4377560867517</v>
      </c>
      <c r="T151" s="19">
        <v>2263.6015000000002</v>
      </c>
    </row>
    <row r="152" spans="1:20">
      <c r="A152" s="12" t="s">
        <v>19</v>
      </c>
      <c r="B152" t="s">
        <v>121</v>
      </c>
      <c r="C152" t="s">
        <v>351</v>
      </c>
      <c r="D152" t="s">
        <v>305</v>
      </c>
      <c r="E152" s="15">
        <v>101.5825</v>
      </c>
      <c r="F152" s="5">
        <v>784</v>
      </c>
      <c r="G152" s="5">
        <v>20.5</v>
      </c>
      <c r="H152" s="5">
        <v>10</v>
      </c>
      <c r="I152" s="5">
        <f ca="1">Table2[[#This Row],[P.t(mb)]]-36</f>
        <v>781</v>
      </c>
      <c r="J152" s="5">
        <v>22</v>
      </c>
      <c r="K152" s="5">
        <v>12.5</v>
      </c>
      <c r="L152">
        <v>28.378624298017591</v>
      </c>
      <c r="M152">
        <v>36.286810969552853</v>
      </c>
      <c r="N152">
        <v>72.295439617765425</v>
      </c>
      <c r="O152">
        <v>101.589843951495</v>
      </c>
      <c r="P152">
        <v>7.3439514949716553E-3</v>
      </c>
      <c r="S152">
        <v>100.9727747501607</v>
      </c>
      <c r="T152" s="19">
        <v>2263.6015000000002</v>
      </c>
    </row>
    <row r="153" spans="1:20">
      <c r="A153" s="12" t="s">
        <v>19</v>
      </c>
      <c r="B153" t="s">
        <v>58</v>
      </c>
      <c r="C153" t="s">
        <v>354</v>
      </c>
      <c r="D153" t="s">
        <v>339</v>
      </c>
      <c r="E153" s="15">
        <v>325.298</v>
      </c>
      <c r="F153" s="5">
        <v>784</v>
      </c>
      <c r="G153" s="5">
        <v>23</v>
      </c>
      <c r="H153" s="5">
        <v>10.5</v>
      </c>
      <c r="I153" s="5">
        <f ca="1">Table2[[#This Row],[P.t(mb)]]-36</f>
        <v>785</v>
      </c>
      <c r="J153" s="5">
        <v>25</v>
      </c>
      <c r="K153" s="5">
        <v>12</v>
      </c>
      <c r="L153">
        <v>22.15250343641673</v>
      </c>
      <c r="M153">
        <v>22.988397530545431</v>
      </c>
      <c r="N153">
        <v>73.679291715204812</v>
      </c>
      <c r="O153">
        <v>325.32196772623638</v>
      </c>
      <c r="P153">
        <v>2.3967726236372701E-2</v>
      </c>
      <c r="S153">
        <v>324.31745651247593</v>
      </c>
      <c r="T153" s="19">
        <v>2263.6015000000002</v>
      </c>
    </row>
    <row r="154" spans="1:20">
      <c r="A154" s="12" t="s">
        <v>19</v>
      </c>
      <c r="B154" t="s">
        <v>153</v>
      </c>
      <c r="C154" t="s">
        <v>355</v>
      </c>
      <c r="D154" t="s">
        <v>340</v>
      </c>
      <c r="E154" s="15">
        <v>222.69919999999999</v>
      </c>
      <c r="F154" s="5">
        <v>784</v>
      </c>
      <c r="G154" s="5">
        <v>23</v>
      </c>
      <c r="H154" s="5">
        <v>10.5</v>
      </c>
      <c r="I154" s="5">
        <f ca="1">Table2[[#This Row],[P.t(mb)]]-36</f>
        <v>784</v>
      </c>
      <c r="J154" s="5">
        <v>25</v>
      </c>
      <c r="K154" s="5">
        <v>12</v>
      </c>
      <c r="L154">
        <v>22.15250343641673</v>
      </c>
      <c r="M154">
        <v>23.015548940240709</v>
      </c>
      <c r="N154">
        <v>73.815147004961659</v>
      </c>
      <c r="O154">
        <v>222.7156385741859</v>
      </c>
      <c r="P154">
        <v>1.6438574185887359E-2</v>
      </c>
      <c r="S154">
        <v>222.05987786023019</v>
      </c>
      <c r="T154" s="19">
        <v>2263.6015000000002</v>
      </c>
    </row>
    <row r="155" spans="1:20">
      <c r="A155" s="12" t="s">
        <v>19</v>
      </c>
      <c r="B155" t="s">
        <v>61</v>
      </c>
      <c r="C155" t="s">
        <v>356</v>
      </c>
      <c r="D155" t="s">
        <v>341</v>
      </c>
      <c r="E155" s="15">
        <v>137.81989999999999</v>
      </c>
      <c r="F155" s="5">
        <v>784</v>
      </c>
      <c r="G155" s="5">
        <v>23</v>
      </c>
      <c r="H155" s="5">
        <v>10.5</v>
      </c>
      <c r="I155" s="5">
        <f ca="1">Table2[[#This Row],[P.t(mb)]]-36</f>
        <v>783</v>
      </c>
      <c r="J155" s="5">
        <v>25</v>
      </c>
      <c r="K155" s="5">
        <v>12</v>
      </c>
      <c r="L155">
        <v>22.15250343641673</v>
      </c>
      <c r="M155">
        <v>23.042700349935998</v>
      </c>
      <c r="N155">
        <v>73.951002294718478</v>
      </c>
      <c r="O155">
        <v>137.83009191974111</v>
      </c>
      <c r="P155">
        <v>1.019191974115787E-2</v>
      </c>
      <c r="S155">
        <v>137.50528861069739</v>
      </c>
      <c r="T155" s="19">
        <v>2263.6015000000002</v>
      </c>
    </row>
    <row r="156" spans="1:20">
      <c r="A156" s="12" t="s">
        <v>19</v>
      </c>
      <c r="B156" t="s">
        <v>64</v>
      </c>
      <c r="C156" t="s">
        <v>357</v>
      </c>
      <c r="D156" t="s">
        <v>342</v>
      </c>
      <c r="E156" s="15">
        <v>225.2886</v>
      </c>
      <c r="F156" s="5">
        <v>784</v>
      </c>
      <c r="G156" s="5">
        <v>23</v>
      </c>
      <c r="H156" s="5">
        <v>10.5</v>
      </c>
      <c r="I156" s="5">
        <f ca="1">Table2[[#This Row],[P.t(mb)]]-36</f>
        <v>786</v>
      </c>
      <c r="J156" s="5">
        <v>25</v>
      </c>
      <c r="K156" s="5">
        <v>12</v>
      </c>
      <c r="L156">
        <v>22.15250343641673</v>
      </c>
      <c r="M156">
        <v>22.961246120850141</v>
      </c>
      <c r="N156">
        <v>73.543436425447965</v>
      </c>
      <c r="O156">
        <v>225.30516849783149</v>
      </c>
      <c r="P156">
        <v>1.6568497831478179E-2</v>
      </c>
      <c r="S156">
        <v>222.5011568650493</v>
      </c>
      <c r="T156" s="19">
        <v>2263.6015000000002</v>
      </c>
    </row>
    <row r="157" spans="1:20">
      <c r="A157" s="11" t="s">
        <v>29</v>
      </c>
      <c r="B157" s="1" t="s">
        <v>12</v>
      </c>
      <c r="C157" t="s">
        <v>372</v>
      </c>
      <c r="D157" t="s">
        <v>336</v>
      </c>
      <c r="E157" s="15">
        <v>417.71125000000001</v>
      </c>
      <c r="F157" s="5">
        <v>779</v>
      </c>
      <c r="G157" s="5">
        <v>25</v>
      </c>
      <c r="H157" s="5">
        <v>13</v>
      </c>
      <c r="I157" s="5">
        <f ca="1">Table2[[#This Row],[P.t(mb)]]-36</f>
        <v>780</v>
      </c>
      <c r="J157" s="5">
        <v>27</v>
      </c>
      <c r="K157" s="5">
        <v>13</v>
      </c>
      <c r="L157">
        <v>27.780078487569011</v>
      </c>
      <c r="M157">
        <v>21.763804321853751</v>
      </c>
      <c r="N157">
        <v>76.508951577439746</v>
      </c>
      <c r="O157">
        <v>417.74320864979961</v>
      </c>
      <c r="P157">
        <v>3.1958649799601828E-2</v>
      </c>
      <c r="S157">
        <v>417.68671236564472</v>
      </c>
      <c r="T157" s="19">
        <v>2251.1</v>
      </c>
    </row>
    <row r="158" spans="1:20">
      <c r="A158" s="11" t="s">
        <v>29</v>
      </c>
      <c r="B158" t="s">
        <v>22</v>
      </c>
      <c r="C158" t="s">
        <v>310</v>
      </c>
      <c r="D158" t="s">
        <v>311</v>
      </c>
      <c r="E158" s="15">
        <v>284.55959999999999</v>
      </c>
      <c r="F158" s="5">
        <v>779</v>
      </c>
      <c r="G158" s="5">
        <v>25</v>
      </c>
      <c r="H158" s="5">
        <v>13</v>
      </c>
      <c r="I158" s="5">
        <f ca="1">Table2[[#This Row],[P.t(mb)]]-36</f>
        <v>778</v>
      </c>
      <c r="J158" s="5">
        <v>26</v>
      </c>
      <c r="K158" s="5">
        <v>13</v>
      </c>
      <c r="L158">
        <v>27.780078487569011</v>
      </c>
      <c r="M158">
        <v>24.671206442479289</v>
      </c>
      <c r="N158">
        <v>76.436421666686812</v>
      </c>
      <c r="O158">
        <v>284.58135071757488</v>
      </c>
      <c r="P158">
        <v>2.1750717574903732E-2</v>
      </c>
      <c r="S158">
        <v>283.54621086552919</v>
      </c>
      <c r="T158" s="19">
        <v>2251.1</v>
      </c>
    </row>
    <row r="159" spans="1:20">
      <c r="A159" s="11" t="s">
        <v>29</v>
      </c>
      <c r="B159" t="s">
        <v>3</v>
      </c>
      <c r="C159" t="s">
        <v>312</v>
      </c>
      <c r="D159" t="s">
        <v>313</v>
      </c>
      <c r="E159" s="15">
        <v>470.26600000000002</v>
      </c>
      <c r="F159" s="5">
        <v>779</v>
      </c>
      <c r="G159" s="5">
        <v>25</v>
      </c>
      <c r="H159" s="5">
        <v>13</v>
      </c>
      <c r="I159" s="5">
        <f ca="1">Table2[[#This Row],[P.t(mb)]]-36</f>
        <v>778</v>
      </c>
      <c r="J159" s="5">
        <v>26</v>
      </c>
      <c r="K159" s="5">
        <v>13</v>
      </c>
      <c r="L159">
        <v>27.780078487569011</v>
      </c>
      <c r="M159">
        <v>24.671206442479289</v>
      </c>
      <c r="N159">
        <v>76.436421666686812</v>
      </c>
      <c r="O159">
        <v>470.30194545027149</v>
      </c>
      <c r="P159">
        <v>3.5945450271506141E-2</v>
      </c>
      <c r="S159">
        <v>469.41194145086439</v>
      </c>
      <c r="T159" s="19">
        <v>2251.1</v>
      </c>
    </row>
    <row r="160" spans="1:20">
      <c r="A160" s="11" t="s">
        <v>29</v>
      </c>
      <c r="B160" t="s">
        <v>6</v>
      </c>
      <c r="C160" t="s">
        <v>314</v>
      </c>
      <c r="D160" t="s">
        <v>315</v>
      </c>
      <c r="E160" s="15">
        <v>431.80130000000003</v>
      </c>
      <c r="F160" s="5">
        <v>779</v>
      </c>
      <c r="G160" s="5">
        <v>25</v>
      </c>
      <c r="H160" s="5">
        <v>13</v>
      </c>
      <c r="I160" s="5">
        <f ca="1">Table2[[#This Row],[P.t(mb)]]-36</f>
        <v>778</v>
      </c>
      <c r="J160" s="5">
        <v>26</v>
      </c>
      <c r="K160" s="5">
        <v>13</v>
      </c>
      <c r="L160">
        <v>27.780078487569011</v>
      </c>
      <c r="M160">
        <v>24.671206442479289</v>
      </c>
      <c r="N160">
        <v>76.436421666686812</v>
      </c>
      <c r="O160">
        <v>431.83430534624313</v>
      </c>
      <c r="P160">
        <v>3.300534624302353E-2</v>
      </c>
      <c r="S160">
        <v>431.18206728092719</v>
      </c>
      <c r="T160" s="19">
        <v>2251.1</v>
      </c>
    </row>
    <row r="161" spans="1:20">
      <c r="A161" s="11" t="s">
        <v>29</v>
      </c>
      <c r="B161" t="s">
        <v>9</v>
      </c>
      <c r="C161" t="s">
        <v>316</v>
      </c>
      <c r="D161" t="s">
        <v>317</v>
      </c>
      <c r="E161" s="15">
        <v>363.29910000000001</v>
      </c>
      <c r="F161" s="5">
        <v>779</v>
      </c>
      <c r="G161" s="5">
        <v>25</v>
      </c>
      <c r="H161" s="5">
        <v>13</v>
      </c>
      <c r="I161" s="5">
        <f ca="1">Table2[[#This Row],[P.t(mb)]]-36</f>
        <v>780</v>
      </c>
      <c r="J161" s="5">
        <v>29</v>
      </c>
      <c r="K161" s="5">
        <v>13</v>
      </c>
      <c r="L161">
        <v>27.780078487569011</v>
      </c>
      <c r="M161">
        <v>16.793140345845298</v>
      </c>
      <c r="N161">
        <v>77.193739521952011</v>
      </c>
      <c r="O161">
        <v>363.32714441609397</v>
      </c>
      <c r="P161">
        <v>2.80444160939596E-2</v>
      </c>
      <c r="S161">
        <v>363.30473784607938</v>
      </c>
      <c r="T161" s="19">
        <v>2251.1</v>
      </c>
    </row>
    <row r="162" spans="1:20">
      <c r="A162" s="11" t="s">
        <v>29</v>
      </c>
      <c r="B162" t="s">
        <v>16</v>
      </c>
      <c r="C162" t="s">
        <v>318</v>
      </c>
      <c r="D162" t="s">
        <v>319</v>
      </c>
      <c r="E162" s="15">
        <v>124.2248</v>
      </c>
      <c r="F162" s="5">
        <v>779</v>
      </c>
      <c r="G162" s="5">
        <v>25</v>
      </c>
      <c r="H162" s="5">
        <v>13</v>
      </c>
      <c r="I162" s="5">
        <f ca="1">Table2[[#This Row],[P.t(mb)]]-36</f>
        <v>778</v>
      </c>
      <c r="J162" s="5">
        <v>25.5</v>
      </c>
      <c r="K162" s="5">
        <v>13</v>
      </c>
      <c r="L162">
        <v>27.780078487569011</v>
      </c>
      <c r="M162">
        <v>26.201766089071711</v>
      </c>
      <c r="N162">
        <v>76.265090939509918</v>
      </c>
      <c r="O162">
        <v>124.2342740156689</v>
      </c>
      <c r="P162">
        <v>9.4740156689424315E-3</v>
      </c>
      <c r="S162">
        <v>124.0794086342359</v>
      </c>
      <c r="T162" s="19">
        <v>2251.1</v>
      </c>
    </row>
    <row r="163" spans="1:20">
      <c r="A163" s="11" t="s">
        <v>29</v>
      </c>
      <c r="B163" t="s">
        <v>19</v>
      </c>
      <c r="C163" t="s">
        <v>320</v>
      </c>
      <c r="D163" t="s">
        <v>321</v>
      </c>
      <c r="E163" s="15">
        <v>94.847200000000001</v>
      </c>
      <c r="F163" s="5">
        <v>779</v>
      </c>
      <c r="G163" s="5">
        <v>25</v>
      </c>
      <c r="H163" s="5">
        <v>13</v>
      </c>
      <c r="I163" s="5">
        <f ca="1">Table2[[#This Row],[P.t(mb)]]-36</f>
        <v>778</v>
      </c>
      <c r="J163" s="5">
        <v>25.5</v>
      </c>
      <c r="K163" s="5">
        <v>13</v>
      </c>
      <c r="L163">
        <v>27.780078487569011</v>
      </c>
      <c r="M163">
        <v>26.201766089071711</v>
      </c>
      <c r="N163">
        <v>76.265090939509918</v>
      </c>
      <c r="O163">
        <v>94.854433530333353</v>
      </c>
      <c r="P163">
        <v>7.2335303333578849E-3</v>
      </c>
      <c r="S163">
        <v>94.027445474275936</v>
      </c>
      <c r="T163" s="19">
        <v>2251.1</v>
      </c>
    </row>
    <row r="164" spans="1:20">
      <c r="A164" s="11" t="s">
        <v>29</v>
      </c>
      <c r="B164" t="s">
        <v>112</v>
      </c>
      <c r="C164" t="s">
        <v>322</v>
      </c>
      <c r="D164" t="s">
        <v>323</v>
      </c>
      <c r="E164" s="15">
        <v>404.09500000000003</v>
      </c>
      <c r="F164" s="5">
        <v>776</v>
      </c>
      <c r="G164" s="5">
        <v>27</v>
      </c>
      <c r="H164" s="5">
        <v>10.5</v>
      </c>
      <c r="I164" s="5">
        <f ca="1">Table2[[#This Row],[P.t(mb)]]-36</f>
        <v>777</v>
      </c>
      <c r="J164" s="5">
        <v>29</v>
      </c>
      <c r="K164" s="5">
        <v>12</v>
      </c>
      <c r="L164">
        <v>11.880111527750479</v>
      </c>
      <c r="M164">
        <v>13.215801577661949</v>
      </c>
      <c r="N164">
        <v>78.571824852350062</v>
      </c>
      <c r="O164">
        <v>404.12675048156382</v>
      </c>
      <c r="P164">
        <v>3.1750481563710388E-2</v>
      </c>
      <c r="S164">
        <v>403.45489317782932</v>
      </c>
      <c r="T164" s="19">
        <v>2251.1</v>
      </c>
    </row>
    <row r="165" spans="1:20">
      <c r="A165" s="11" t="s">
        <v>29</v>
      </c>
      <c r="B165" t="s">
        <v>115</v>
      </c>
      <c r="C165" t="s">
        <v>324</v>
      </c>
      <c r="D165" t="s">
        <v>325</v>
      </c>
      <c r="E165" s="15">
        <v>367.52539999999999</v>
      </c>
      <c r="F165" s="5">
        <v>776</v>
      </c>
      <c r="G165" s="5">
        <v>27</v>
      </c>
      <c r="H165" s="5">
        <v>10.5</v>
      </c>
      <c r="I165" s="5">
        <f ca="1">Table2[[#This Row],[P.t(mb)]]-36</f>
        <v>777</v>
      </c>
      <c r="J165" s="5">
        <v>29</v>
      </c>
      <c r="K165" s="5">
        <v>12</v>
      </c>
      <c r="L165">
        <v>11.880111527750479</v>
      </c>
      <c r="M165">
        <v>13.215801577661949</v>
      </c>
      <c r="N165">
        <v>78.571824852350062</v>
      </c>
      <c r="O165">
        <v>367.5542771413576</v>
      </c>
      <c r="P165">
        <v>2.887714135758989E-2</v>
      </c>
      <c r="S165">
        <v>366.79308630395047</v>
      </c>
      <c r="T165" s="19">
        <v>2251.1</v>
      </c>
    </row>
    <row r="166" spans="1:20">
      <c r="A166" s="11" t="s">
        <v>29</v>
      </c>
      <c r="B166" t="s">
        <v>118</v>
      </c>
      <c r="C166" t="s">
        <v>326</v>
      </c>
      <c r="D166" t="s">
        <v>327</v>
      </c>
      <c r="E166" s="15">
        <v>225.03530000000001</v>
      </c>
      <c r="F166" s="5">
        <v>776</v>
      </c>
      <c r="G166" s="5">
        <v>27</v>
      </c>
      <c r="H166" s="5">
        <v>10.5</v>
      </c>
      <c r="I166" s="5">
        <f ca="1">Table2[[#This Row],[P.t(mb)]]-36</f>
        <v>777</v>
      </c>
      <c r="J166" s="5">
        <v>29</v>
      </c>
      <c r="K166" s="5">
        <v>12</v>
      </c>
      <c r="L166">
        <v>11.880111527750479</v>
      </c>
      <c r="M166">
        <v>13.215801577661949</v>
      </c>
      <c r="N166">
        <v>78.571824852350062</v>
      </c>
      <c r="O166">
        <v>225.05298143417721</v>
      </c>
      <c r="P166">
        <v>1.7681434177196049E-2</v>
      </c>
      <c r="S166">
        <v>223.8080750605734</v>
      </c>
      <c r="T166" s="19">
        <v>2251.1</v>
      </c>
    </row>
    <row r="167" spans="1:20">
      <c r="A167" s="11" t="s">
        <v>29</v>
      </c>
      <c r="B167" t="s">
        <v>58</v>
      </c>
      <c r="C167" t="s">
        <v>328</v>
      </c>
      <c r="D167" t="s">
        <v>329</v>
      </c>
      <c r="E167" s="15">
        <v>339.65030000000002</v>
      </c>
      <c r="F167" s="5">
        <v>776</v>
      </c>
      <c r="G167" s="5">
        <v>27</v>
      </c>
      <c r="H167" s="5">
        <v>10.5</v>
      </c>
      <c r="I167" s="5">
        <f ca="1">Table2[[#This Row],[P.t(mb)]]-36</f>
        <v>780</v>
      </c>
      <c r="J167" s="5">
        <v>29</v>
      </c>
      <c r="K167" s="5">
        <v>12</v>
      </c>
      <c r="L167">
        <v>11.880111527750479</v>
      </c>
      <c r="M167">
        <v>13.13157994471231</v>
      </c>
      <c r="N167">
        <v>78.169531621506877</v>
      </c>
      <c r="O167">
        <v>339.67685030486609</v>
      </c>
      <c r="P167">
        <v>2.65503048661043E-2</v>
      </c>
      <c r="S167">
        <v>339.42623258914841</v>
      </c>
      <c r="T167" s="19">
        <v>2251.1</v>
      </c>
    </row>
    <row r="168" spans="1:20">
      <c r="A168" s="11" t="s">
        <v>29</v>
      </c>
      <c r="B168" t="s">
        <v>153</v>
      </c>
      <c r="C168" t="s">
        <v>330</v>
      </c>
      <c r="D168" t="s">
        <v>331</v>
      </c>
      <c r="E168" s="15">
        <v>252.8373</v>
      </c>
      <c r="F168" s="5">
        <v>776</v>
      </c>
      <c r="G168" s="5">
        <v>27</v>
      </c>
      <c r="H168" s="5">
        <v>10.5</v>
      </c>
      <c r="I168" s="5">
        <f ca="1">Table2[[#This Row],[P.t(mb)]]-36</f>
        <v>779</v>
      </c>
      <c r="J168" s="5">
        <v>29</v>
      </c>
      <c r="K168" s="5">
        <v>12</v>
      </c>
      <c r="L168">
        <v>11.880111527750479</v>
      </c>
      <c r="M168">
        <v>13.15965382236219</v>
      </c>
      <c r="N168">
        <v>78.303629365121253</v>
      </c>
      <c r="O168">
        <v>252.85709807822889</v>
      </c>
      <c r="P168">
        <v>1.9798078228877969E-2</v>
      </c>
      <c r="S168">
        <v>252.81567500197841</v>
      </c>
      <c r="T168" s="19">
        <v>2251.1</v>
      </c>
    </row>
    <row r="169" spans="1:20">
      <c r="A169" s="11" t="s">
        <v>29</v>
      </c>
      <c r="B169" t="s">
        <v>61</v>
      </c>
      <c r="C169" t="s">
        <v>332</v>
      </c>
      <c r="D169" t="s">
        <v>333</v>
      </c>
      <c r="E169" s="15">
        <v>193.92269999999999</v>
      </c>
      <c r="F169" s="5">
        <v>776</v>
      </c>
      <c r="G169" s="5">
        <v>27</v>
      </c>
      <c r="H169" s="5">
        <v>10.5</v>
      </c>
      <c r="I169" s="5">
        <f ca="1">Table2[[#This Row],[P.t(mb)]]-36</f>
        <v>778</v>
      </c>
      <c r="J169" s="5">
        <v>29</v>
      </c>
      <c r="K169" s="5">
        <v>12</v>
      </c>
      <c r="L169">
        <v>11.880111527750479</v>
      </c>
      <c r="M169">
        <v>13.18772770001206</v>
      </c>
      <c r="N169">
        <v>78.437727108735629</v>
      </c>
      <c r="O169">
        <v>193.93791085582279</v>
      </c>
      <c r="P169">
        <v>1.5210855822789211E-2</v>
      </c>
      <c r="S169">
        <v>193.9140172202124</v>
      </c>
      <c r="T169" s="19">
        <v>2251.1</v>
      </c>
    </row>
    <row r="170" spans="1:20">
      <c r="A170" s="11" t="s">
        <v>29</v>
      </c>
      <c r="B170" t="s">
        <v>64</v>
      </c>
      <c r="C170" t="s">
        <v>334</v>
      </c>
      <c r="D170" t="s">
        <v>335</v>
      </c>
      <c r="E170" s="15">
        <v>238.803</v>
      </c>
      <c r="F170" s="5">
        <v>776</v>
      </c>
      <c r="G170" s="5">
        <v>27</v>
      </c>
      <c r="H170" s="5">
        <v>10.5</v>
      </c>
      <c r="I170" s="5">
        <f ca="1">Table2[[#This Row],[P.t(mb)]]-36</f>
        <v>781</v>
      </c>
      <c r="J170" s="5">
        <v>29</v>
      </c>
      <c r="K170" s="5">
        <v>12</v>
      </c>
      <c r="L170">
        <v>11.880111527750479</v>
      </c>
      <c r="M170">
        <v>13.103506067062421</v>
      </c>
      <c r="N170">
        <v>78.035433877892473</v>
      </c>
      <c r="O170">
        <v>238.82163509571629</v>
      </c>
      <c r="P170">
        <v>1.8635095716342351E-2</v>
      </c>
      <c r="S170">
        <v>237.71774395233939</v>
      </c>
      <c r="T170" s="19">
        <v>2251.1</v>
      </c>
    </row>
    <row r="171" spans="1:20" ht="15" customHeight="1"/>
    <row r="172" spans="1:20" ht="15" customHeight="1"/>
  </sheetData>
  <sortState ref="C175:C182">
    <sortCondition ref="C175:C182"/>
  </sortState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BC3_1</vt:lpstr>
      <vt:lpstr>sort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</dc:creator>
  <cp:lastModifiedBy>ASUS</cp:lastModifiedBy>
  <cp:lastPrinted>2025-07-15T16:18:39Z</cp:lastPrinted>
  <dcterms:created xsi:type="dcterms:W3CDTF">2025-07-15T12:36:24Z</dcterms:created>
  <dcterms:modified xsi:type="dcterms:W3CDTF">2025-08-10T17:36:00Z</dcterms:modified>
</cp:coreProperties>
</file>